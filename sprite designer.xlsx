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ac/Coding/cgahscroll/"/>
    </mc:Choice>
  </mc:AlternateContent>
  <xr:revisionPtr revIDLastSave="0" documentId="13_ncr:1_{56AE2759-FC6F-DD40-BD04-3CC1D6305D72}" xr6:coauthVersionLast="47" xr6:coauthVersionMax="47" xr10:uidLastSave="{00000000-0000-0000-0000-000000000000}"/>
  <bookViews>
    <workbookView minimized="1" xWindow="1900" yWindow="4380" windowWidth="23320" windowHeight="12520" activeTab="3" xr2:uid="{CCA8C1F7-F8F0-4942-9123-A5AEFC3B1828}"/>
  </bookViews>
  <sheets>
    <sheet name="Sprites" sheetId="1" r:id="rId1"/>
    <sheet name="clock" sheetId="2" r:id="rId2"/>
    <sheet name="cos_wave" sheetId="3" r:id="rId3"/>
    <sheet name="soun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4" l="1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C8" i="4"/>
  <c r="AV192" i="1"/>
  <c r="AR192" i="1"/>
  <c r="AW192" i="1" s="1"/>
  <c r="AN192" i="1"/>
  <c r="AJ192" i="1"/>
  <c r="AO192" i="1" s="1"/>
  <c r="AW191" i="1"/>
  <c r="AV191" i="1"/>
  <c r="AR191" i="1"/>
  <c r="AN191" i="1"/>
  <c r="AJ191" i="1"/>
  <c r="AV190" i="1"/>
  <c r="AR190" i="1"/>
  <c r="AO190" i="1"/>
  <c r="AN190" i="1"/>
  <c r="AJ190" i="1"/>
  <c r="AO191" i="1" s="1"/>
  <c r="AV189" i="1"/>
  <c r="AW187" i="1" s="1"/>
  <c r="AR189" i="1"/>
  <c r="AN189" i="1"/>
  <c r="AJ189" i="1"/>
  <c r="AW188" i="1"/>
  <c r="AV188" i="1"/>
  <c r="AR188" i="1"/>
  <c r="AW190" i="1" s="1"/>
  <c r="AO188" i="1"/>
  <c r="AN188" i="1"/>
  <c r="AJ188" i="1"/>
  <c r="AV187" i="1"/>
  <c r="AR187" i="1"/>
  <c r="AO187" i="1"/>
  <c r="AN187" i="1"/>
  <c r="AJ187" i="1"/>
  <c r="AO186" i="1" s="1"/>
  <c r="AW186" i="1"/>
  <c r="AV186" i="1"/>
  <c r="AR186" i="1"/>
  <c r="AW189" i="1" s="1"/>
  <c r="AN186" i="1"/>
  <c r="AJ186" i="1"/>
  <c r="AO189" i="1" s="1"/>
  <c r="AV185" i="1"/>
  <c r="AR185" i="1"/>
  <c r="AW185" i="1" s="1"/>
  <c r="AN185" i="1"/>
  <c r="AJ185" i="1"/>
  <c r="AO185" i="1" s="1"/>
  <c r="BL182" i="1"/>
  <c r="BH182" i="1"/>
  <c r="BM182" i="1" s="1"/>
  <c r="BD182" i="1"/>
  <c r="AZ182" i="1"/>
  <c r="BE182" i="1" s="1"/>
  <c r="AW182" i="1"/>
  <c r="AV182" i="1"/>
  <c r="AR182" i="1"/>
  <c r="AO182" i="1"/>
  <c r="AN182" i="1"/>
  <c r="AJ182" i="1"/>
  <c r="BL181" i="1"/>
  <c r="BH181" i="1"/>
  <c r="BM178" i="1" s="1"/>
  <c r="BE181" i="1"/>
  <c r="BD181" i="1"/>
  <c r="AZ181" i="1"/>
  <c r="BE178" i="1" s="1"/>
  <c r="AV181" i="1"/>
  <c r="AR181" i="1"/>
  <c r="AN181" i="1"/>
  <c r="AJ181" i="1"/>
  <c r="AO178" i="1" s="1"/>
  <c r="BM180" i="1"/>
  <c r="BL180" i="1"/>
  <c r="BH180" i="1"/>
  <c r="BM181" i="1" s="1"/>
  <c r="BD180" i="1"/>
  <c r="AZ180" i="1"/>
  <c r="AV180" i="1"/>
  <c r="AR180" i="1"/>
  <c r="AW181" i="1" s="1"/>
  <c r="AN180" i="1"/>
  <c r="AJ180" i="1"/>
  <c r="AO181" i="1" s="1"/>
  <c r="BM179" i="1"/>
  <c r="BL179" i="1"/>
  <c r="BH179" i="1"/>
  <c r="BM177" i="1" s="1"/>
  <c r="BD179" i="1"/>
  <c r="AZ179" i="1"/>
  <c r="AV179" i="1"/>
  <c r="AR179" i="1"/>
  <c r="AO179" i="1"/>
  <c r="AN179" i="1"/>
  <c r="AO177" i="1" s="1"/>
  <c r="AJ179" i="1"/>
  <c r="BL178" i="1"/>
  <c r="BH178" i="1"/>
  <c r="BD178" i="1"/>
  <c r="AZ178" i="1"/>
  <c r="BE180" i="1" s="1"/>
  <c r="AW178" i="1"/>
  <c r="AV178" i="1"/>
  <c r="AR178" i="1"/>
  <c r="AW180" i="1" s="1"/>
  <c r="AN178" i="1"/>
  <c r="AJ178" i="1"/>
  <c r="AO180" i="1" s="1"/>
  <c r="BL177" i="1"/>
  <c r="BH177" i="1"/>
  <c r="BE177" i="1"/>
  <c r="BD177" i="1"/>
  <c r="AZ177" i="1"/>
  <c r="AW177" i="1"/>
  <c r="AV177" i="1"/>
  <c r="AR177" i="1"/>
  <c r="AN177" i="1"/>
  <c r="AJ177" i="1"/>
  <c r="BM176" i="1"/>
  <c r="BL176" i="1"/>
  <c r="BH176" i="1"/>
  <c r="BE176" i="1"/>
  <c r="BD176" i="1"/>
  <c r="BE179" i="1" s="1"/>
  <c r="AZ176" i="1"/>
  <c r="AW176" i="1"/>
  <c r="AV176" i="1"/>
  <c r="AW179" i="1" s="1"/>
  <c r="AR176" i="1"/>
  <c r="AO176" i="1"/>
  <c r="AN176" i="1"/>
  <c r="AJ176" i="1"/>
  <c r="BL175" i="1"/>
  <c r="BH175" i="1"/>
  <c r="BM175" i="1" s="1"/>
  <c r="BD175" i="1"/>
  <c r="AZ175" i="1"/>
  <c r="BE175" i="1" s="1"/>
  <c r="AV175" i="1"/>
  <c r="AR175" i="1"/>
  <c r="AW175" i="1" s="1"/>
  <c r="AN175" i="1"/>
  <c r="AJ175" i="1"/>
  <c r="AO175" i="1" s="1"/>
  <c r="BM172" i="1"/>
  <c r="BM171" i="1"/>
  <c r="BM170" i="1"/>
  <c r="BM169" i="1"/>
  <c r="BM168" i="1"/>
  <c r="BM167" i="1"/>
  <c r="BM166" i="1"/>
  <c r="BM165" i="1"/>
  <c r="BE172" i="1"/>
  <c r="BE171" i="1"/>
  <c r="BE170" i="1"/>
  <c r="BE169" i="1"/>
  <c r="BE168" i="1"/>
  <c r="BE167" i="1"/>
  <c r="BE166" i="1"/>
  <c r="BE165" i="1"/>
  <c r="AO172" i="1"/>
  <c r="AO171" i="1"/>
  <c r="AO170" i="1"/>
  <c r="AO169" i="1"/>
  <c r="AO168" i="1"/>
  <c r="AO167" i="1"/>
  <c r="AO166" i="1"/>
  <c r="AO165" i="1"/>
  <c r="AW169" i="1"/>
  <c r="AW166" i="1"/>
  <c r="AW170" i="1"/>
  <c r="AW167" i="1"/>
  <c r="AW171" i="1"/>
  <c r="AW168" i="1"/>
  <c r="AW172" i="1"/>
  <c r="AW165" i="1"/>
  <c r="BL172" i="1"/>
  <c r="BH172" i="1"/>
  <c r="BL171" i="1"/>
  <c r="BH171" i="1"/>
  <c r="BL170" i="1"/>
  <c r="BH170" i="1"/>
  <c r="BL169" i="1"/>
  <c r="BH169" i="1"/>
  <c r="BL168" i="1"/>
  <c r="BH168" i="1"/>
  <c r="BL167" i="1"/>
  <c r="BH167" i="1"/>
  <c r="BL166" i="1"/>
  <c r="BH166" i="1"/>
  <c r="BL165" i="1"/>
  <c r="BH165" i="1"/>
  <c r="BD172" i="1"/>
  <c r="AZ172" i="1"/>
  <c r="BD171" i="1"/>
  <c r="AZ171" i="1"/>
  <c r="BD170" i="1"/>
  <c r="AZ170" i="1"/>
  <c r="BD169" i="1"/>
  <c r="AZ169" i="1"/>
  <c r="BD168" i="1"/>
  <c r="AZ168" i="1"/>
  <c r="BD167" i="1"/>
  <c r="AZ167" i="1"/>
  <c r="BD166" i="1"/>
  <c r="AZ166" i="1"/>
  <c r="BD165" i="1"/>
  <c r="AZ165" i="1"/>
  <c r="AV172" i="1"/>
  <c r="AR172" i="1"/>
  <c r="AV171" i="1"/>
  <c r="AR171" i="1"/>
  <c r="AV170" i="1"/>
  <c r="AR170" i="1"/>
  <c r="AV169" i="1"/>
  <c r="AR169" i="1"/>
  <c r="AV168" i="1"/>
  <c r="AR168" i="1"/>
  <c r="AV167" i="1"/>
  <c r="AR167" i="1"/>
  <c r="AV166" i="1"/>
  <c r="AR166" i="1"/>
  <c r="AV165" i="1"/>
  <c r="AR165" i="1"/>
  <c r="AN172" i="1"/>
  <c r="AJ172" i="1"/>
  <c r="AN171" i="1"/>
  <c r="AJ171" i="1"/>
  <c r="AN170" i="1"/>
  <c r="AJ170" i="1"/>
  <c r="AN169" i="1"/>
  <c r="AJ169" i="1"/>
  <c r="AN168" i="1"/>
  <c r="AJ168" i="1"/>
  <c r="AN167" i="1"/>
  <c r="AJ167" i="1"/>
  <c r="AN166" i="1"/>
  <c r="AJ166" i="1"/>
  <c r="AN165" i="1"/>
  <c r="AJ165" i="1"/>
  <c r="BN155" i="1"/>
  <c r="BN148" i="1"/>
  <c r="BN156" i="1"/>
  <c r="BN149" i="1"/>
  <c r="BN157" i="1"/>
  <c r="BN150" i="1"/>
  <c r="BN158" i="1"/>
  <c r="BN151" i="1"/>
  <c r="BN159" i="1"/>
  <c r="BN152" i="1"/>
  <c r="BN160" i="1"/>
  <c r="BN153" i="1"/>
  <c r="BN161" i="1"/>
  <c r="BN154" i="1"/>
  <c r="BN162" i="1"/>
  <c r="AJ148" i="1"/>
  <c r="AN148" i="1"/>
  <c r="AR148" i="1"/>
  <c r="AV148" i="1"/>
  <c r="AZ148" i="1"/>
  <c r="BD148" i="1"/>
  <c r="BH148" i="1"/>
  <c r="BL148" i="1"/>
  <c r="AJ149" i="1"/>
  <c r="AN149" i="1"/>
  <c r="AR149" i="1"/>
  <c r="AV149" i="1"/>
  <c r="AZ149" i="1"/>
  <c r="BD149" i="1"/>
  <c r="BH149" i="1"/>
  <c r="BL149" i="1"/>
  <c r="AJ150" i="1"/>
  <c r="AN150" i="1"/>
  <c r="AR150" i="1"/>
  <c r="AV150" i="1"/>
  <c r="AZ150" i="1"/>
  <c r="BD150" i="1"/>
  <c r="BH150" i="1"/>
  <c r="BL150" i="1"/>
  <c r="AJ151" i="1"/>
  <c r="AN151" i="1"/>
  <c r="AR151" i="1"/>
  <c r="AV151" i="1"/>
  <c r="AZ151" i="1"/>
  <c r="BD151" i="1"/>
  <c r="BH151" i="1"/>
  <c r="BL151" i="1"/>
  <c r="AJ152" i="1"/>
  <c r="AN152" i="1"/>
  <c r="AR152" i="1"/>
  <c r="AV152" i="1"/>
  <c r="AZ152" i="1"/>
  <c r="BD152" i="1"/>
  <c r="BH152" i="1"/>
  <c r="BL152" i="1"/>
  <c r="AJ153" i="1"/>
  <c r="AN153" i="1"/>
  <c r="AR153" i="1"/>
  <c r="AV153" i="1"/>
  <c r="AZ153" i="1"/>
  <c r="BD153" i="1"/>
  <c r="BH153" i="1"/>
  <c r="BL153" i="1"/>
  <c r="AJ154" i="1"/>
  <c r="AN154" i="1"/>
  <c r="AR154" i="1"/>
  <c r="AV154" i="1"/>
  <c r="AZ154" i="1"/>
  <c r="BD154" i="1"/>
  <c r="BH154" i="1"/>
  <c r="BL154" i="1"/>
  <c r="AJ155" i="1"/>
  <c r="AN155" i="1"/>
  <c r="AR155" i="1"/>
  <c r="AV155" i="1"/>
  <c r="AZ155" i="1"/>
  <c r="BD155" i="1"/>
  <c r="BH155" i="1"/>
  <c r="BL155" i="1"/>
  <c r="AJ156" i="1"/>
  <c r="AN156" i="1"/>
  <c r="AR156" i="1"/>
  <c r="AV156" i="1"/>
  <c r="AZ156" i="1"/>
  <c r="BD156" i="1"/>
  <c r="BH156" i="1"/>
  <c r="BL156" i="1"/>
  <c r="AJ157" i="1"/>
  <c r="AN157" i="1"/>
  <c r="AR157" i="1"/>
  <c r="AV157" i="1"/>
  <c r="AZ157" i="1"/>
  <c r="BD157" i="1"/>
  <c r="BH157" i="1"/>
  <c r="BL157" i="1"/>
  <c r="AJ158" i="1"/>
  <c r="AN158" i="1"/>
  <c r="AR158" i="1"/>
  <c r="AV158" i="1"/>
  <c r="AZ158" i="1"/>
  <c r="BD158" i="1"/>
  <c r="BH158" i="1"/>
  <c r="BL158" i="1"/>
  <c r="AJ159" i="1"/>
  <c r="AN159" i="1"/>
  <c r="AR159" i="1"/>
  <c r="AV159" i="1"/>
  <c r="AZ159" i="1"/>
  <c r="BD159" i="1"/>
  <c r="BH159" i="1"/>
  <c r="BL159" i="1"/>
  <c r="AJ160" i="1"/>
  <c r="AN160" i="1"/>
  <c r="AR160" i="1"/>
  <c r="AV160" i="1"/>
  <c r="AZ160" i="1"/>
  <c r="BD160" i="1"/>
  <c r="BH160" i="1"/>
  <c r="BL160" i="1"/>
  <c r="AJ161" i="1"/>
  <c r="AN161" i="1"/>
  <c r="AR161" i="1"/>
  <c r="AV161" i="1"/>
  <c r="AZ161" i="1"/>
  <c r="BD161" i="1"/>
  <c r="BH161" i="1"/>
  <c r="BL161" i="1"/>
  <c r="AJ162" i="1"/>
  <c r="AN162" i="1"/>
  <c r="AR162" i="1"/>
  <c r="AV162" i="1"/>
  <c r="AZ162" i="1"/>
  <c r="BD162" i="1"/>
  <c r="BH162" i="1"/>
  <c r="BL162" i="1"/>
  <c r="BN147" i="1"/>
  <c r="BL147" i="1"/>
  <c r="BH147" i="1"/>
  <c r="BD147" i="1"/>
  <c r="AZ147" i="1"/>
  <c r="AV147" i="1"/>
  <c r="AR147" i="1"/>
  <c r="AN147" i="1"/>
  <c r="AJ147" i="1"/>
  <c r="D6" i="4"/>
  <c r="E6" i="4"/>
  <c r="F6" i="4"/>
  <c r="G6" i="4"/>
  <c r="H6" i="4"/>
  <c r="I6" i="4"/>
  <c r="J6" i="4"/>
  <c r="K6" i="4"/>
  <c r="L6" i="4"/>
  <c r="M6" i="4"/>
  <c r="C6" i="4"/>
  <c r="L5" i="4"/>
  <c r="M5" i="4" s="1"/>
  <c r="E5" i="4"/>
  <c r="F5" i="4"/>
  <c r="G5" i="4" s="1"/>
  <c r="H5" i="4" s="1"/>
  <c r="I5" i="4" s="1"/>
  <c r="J5" i="4" s="1"/>
  <c r="K5" i="4" s="1"/>
  <c r="D5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C3" i="4"/>
  <c r="C10" i="2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2" i="3"/>
  <c r="AN145" i="1"/>
  <c r="AJ145" i="1"/>
  <c r="AN144" i="1"/>
  <c r="AJ144" i="1"/>
  <c r="AN143" i="1"/>
  <c r="AJ143" i="1"/>
  <c r="AN142" i="1"/>
  <c r="AJ142" i="1"/>
  <c r="AN141" i="1"/>
  <c r="AJ141" i="1"/>
  <c r="AN140" i="1"/>
  <c r="AJ140" i="1"/>
  <c r="AN139" i="1"/>
  <c r="AJ139" i="1"/>
  <c r="AN138" i="1"/>
  <c r="AJ138" i="1"/>
  <c r="AW138" i="1" s="1"/>
  <c r="AJ131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N127" i="1"/>
  <c r="AJ127" i="1"/>
  <c r="AN126" i="1"/>
  <c r="AJ126" i="1"/>
  <c r="AN125" i="1"/>
  <c r="AJ125" i="1"/>
  <c r="AN124" i="1"/>
  <c r="AJ124" i="1"/>
  <c r="AN123" i="1"/>
  <c r="AJ123" i="1"/>
  <c r="AN122" i="1"/>
  <c r="AJ122" i="1"/>
  <c r="AN121" i="1"/>
  <c r="AJ121" i="1"/>
  <c r="AN120" i="1"/>
  <c r="AJ120" i="1"/>
  <c r="AN109" i="1"/>
  <c r="AJ109" i="1"/>
  <c r="AN108" i="1"/>
  <c r="AJ108" i="1"/>
  <c r="AN107" i="1"/>
  <c r="AJ107" i="1"/>
  <c r="AN106" i="1"/>
  <c r="AJ106" i="1"/>
  <c r="AN105" i="1"/>
  <c r="AJ105" i="1"/>
  <c r="AN104" i="1"/>
  <c r="AJ104" i="1"/>
  <c r="AN103" i="1"/>
  <c r="AJ103" i="1"/>
  <c r="AN102" i="1"/>
  <c r="AJ102" i="1"/>
  <c r="AN91" i="1"/>
  <c r="AJ91" i="1"/>
  <c r="AN90" i="1"/>
  <c r="AJ90" i="1"/>
  <c r="AN89" i="1"/>
  <c r="AJ89" i="1"/>
  <c r="AN88" i="1"/>
  <c r="AJ88" i="1"/>
  <c r="AN87" i="1"/>
  <c r="AJ87" i="1"/>
  <c r="AN86" i="1"/>
  <c r="AJ86" i="1"/>
  <c r="AN85" i="1"/>
  <c r="AJ85" i="1"/>
  <c r="AN84" i="1"/>
  <c r="AJ84" i="1"/>
  <c r="AN73" i="1"/>
  <c r="AJ73" i="1"/>
  <c r="AN72" i="1"/>
  <c r="AJ72" i="1"/>
  <c r="AN71" i="1"/>
  <c r="AJ71" i="1"/>
  <c r="AN70" i="1"/>
  <c r="AJ70" i="1"/>
  <c r="AN69" i="1"/>
  <c r="AJ69" i="1"/>
  <c r="AN68" i="1"/>
  <c r="AJ68" i="1"/>
  <c r="AN67" i="1"/>
  <c r="AJ67" i="1"/>
  <c r="AN66" i="1"/>
  <c r="AJ66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I44" i="1" s="1"/>
  <c r="H62" i="1"/>
  <c r="G62" i="1"/>
  <c r="F62" i="1"/>
  <c r="E62" i="1"/>
  <c r="D62" i="1"/>
  <c r="C62" i="1"/>
  <c r="B62" i="1"/>
  <c r="A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D40" i="1" s="1"/>
  <c r="C58" i="1"/>
  <c r="B58" i="1"/>
  <c r="A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I45" i="1"/>
  <c r="H45" i="1"/>
  <c r="D44" i="1"/>
  <c r="G41" i="1"/>
  <c r="I40" i="1"/>
  <c r="H40" i="1"/>
  <c r="I39" i="1"/>
  <c r="B39" i="1"/>
  <c r="A39" i="1"/>
  <c r="C46" i="1"/>
  <c r="B46" i="1"/>
  <c r="A44" i="1"/>
  <c r="G43" i="1"/>
  <c r="E42" i="1"/>
  <c r="C42" i="1"/>
  <c r="I41" i="1"/>
  <c r="C15" i="2"/>
  <c r="F12" i="2"/>
  <c r="C12" i="2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E46" i="1"/>
  <c r="D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G45" i="1"/>
  <c r="F45" i="1"/>
  <c r="C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H44" i="1"/>
  <c r="E44" i="1"/>
  <c r="C44" i="1"/>
  <c r="B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F43" i="1"/>
  <c r="C43" i="1"/>
  <c r="A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G42" i="1"/>
  <c r="D42" i="1"/>
  <c r="B42" i="1"/>
  <c r="A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H41" i="1"/>
  <c r="F41" i="1"/>
  <c r="D41" i="1"/>
  <c r="B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G40" i="1"/>
  <c r="E40" i="1"/>
  <c r="C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F39" i="1"/>
  <c r="E39" i="1"/>
  <c r="D3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3" i="1"/>
  <c r="I46" i="1"/>
  <c r="H46" i="1"/>
  <c r="G46" i="1"/>
  <c r="F46" i="1"/>
  <c r="B45" i="1"/>
  <c r="A45" i="1"/>
  <c r="G44" i="1"/>
  <c r="F44" i="1"/>
  <c r="E43" i="1"/>
  <c r="D43" i="1"/>
  <c r="B43" i="1"/>
  <c r="H42" i="1"/>
  <c r="E41" i="1"/>
  <c r="C41" i="1"/>
  <c r="B40" i="1"/>
  <c r="A40" i="1"/>
  <c r="H39" i="1"/>
  <c r="AJ37" i="1"/>
  <c r="AV37" i="1"/>
  <c r="AR37" i="1"/>
  <c r="AN37" i="1"/>
  <c r="AJ36" i="1"/>
  <c r="AV36" i="1"/>
  <c r="AR36" i="1"/>
  <c r="AN36" i="1"/>
  <c r="AV35" i="1"/>
  <c r="AJ35" i="1"/>
  <c r="AR35" i="1"/>
  <c r="AN35" i="1"/>
  <c r="AV34" i="1"/>
  <c r="AN34" i="1"/>
  <c r="AR34" i="1"/>
  <c r="AJ34" i="1"/>
  <c r="AV33" i="1"/>
  <c r="AR33" i="1"/>
  <c r="AN33" i="1"/>
  <c r="AJ33" i="1"/>
  <c r="AV32" i="1"/>
  <c r="AR32" i="1"/>
  <c r="AN32" i="1"/>
  <c r="AJ32" i="1"/>
  <c r="AV31" i="1"/>
  <c r="AR31" i="1"/>
  <c r="AN31" i="1"/>
  <c r="AJ31" i="1"/>
  <c r="AV30" i="1"/>
  <c r="AR30" i="1"/>
  <c r="AN30" i="1"/>
  <c r="AJ30" i="1"/>
  <c r="AV19" i="1"/>
  <c r="AV18" i="1"/>
  <c r="AV17" i="1"/>
  <c r="AV16" i="1"/>
  <c r="AV15" i="1"/>
  <c r="AV14" i="1"/>
  <c r="AV13" i="1"/>
  <c r="AV12" i="1"/>
  <c r="AR19" i="1"/>
  <c r="AR18" i="1"/>
  <c r="AR17" i="1"/>
  <c r="AR16" i="1"/>
  <c r="AR15" i="1"/>
  <c r="AR14" i="1"/>
  <c r="AR13" i="1"/>
  <c r="AR12" i="1"/>
  <c r="AN19" i="1"/>
  <c r="AN18" i="1"/>
  <c r="AN17" i="1"/>
  <c r="AN16" i="1"/>
  <c r="AN15" i="1"/>
  <c r="AN14" i="1"/>
  <c r="AN13" i="1"/>
  <c r="AN12" i="1"/>
  <c r="AJ19" i="1"/>
  <c r="AJ18" i="1"/>
  <c r="AJ17" i="1"/>
  <c r="AJ16" i="1"/>
  <c r="AJ15" i="1"/>
  <c r="AJ14" i="1"/>
  <c r="AJ13" i="1"/>
  <c r="AJ12" i="1"/>
  <c r="AJ61" i="1" l="1"/>
  <c r="AJ76" i="1"/>
  <c r="AN80" i="1"/>
  <c r="AJ96" i="1"/>
  <c r="AW70" i="1"/>
  <c r="AW90" i="1"/>
  <c r="AN134" i="1"/>
  <c r="AW71" i="1"/>
  <c r="AN130" i="1"/>
  <c r="AW107" i="1"/>
  <c r="AW73" i="1"/>
  <c r="AW141" i="1"/>
  <c r="AR10" i="1"/>
  <c r="AN129" i="1"/>
  <c r="AJ130" i="1"/>
  <c r="AJ135" i="1"/>
  <c r="AW121" i="1"/>
  <c r="AN135" i="1"/>
  <c r="AW135" i="1" s="1"/>
  <c r="AJ136" i="1"/>
  <c r="AW136" i="1" s="1"/>
  <c r="AW145" i="1"/>
  <c r="AN136" i="1"/>
  <c r="AJ129" i="1"/>
  <c r="AN9" i="1"/>
  <c r="AN4" i="1"/>
  <c r="AN21" i="1"/>
  <c r="AV21" i="1"/>
  <c r="AN26" i="1"/>
  <c r="AN62" i="1"/>
  <c r="AN77" i="1"/>
  <c r="AW77" i="1" s="1"/>
  <c r="AN97" i="1"/>
  <c r="AW104" i="1"/>
  <c r="AW124" i="1"/>
  <c r="AJ134" i="1"/>
  <c r="AW105" i="1"/>
  <c r="AW125" i="1"/>
  <c r="AJ132" i="1"/>
  <c r="AW140" i="1"/>
  <c r="AN58" i="1"/>
  <c r="AN63" i="1"/>
  <c r="AN78" i="1"/>
  <c r="AJ79" i="1"/>
  <c r="AN93" i="1"/>
  <c r="AN98" i="1"/>
  <c r="AN113" i="1"/>
  <c r="AN118" i="1"/>
  <c r="AW91" i="1"/>
  <c r="AW106" i="1"/>
  <c r="AN132" i="1"/>
  <c r="AJ133" i="1"/>
  <c r="AW133" i="1" s="1"/>
  <c r="AV23" i="1"/>
  <c r="AJ62" i="1"/>
  <c r="AJ77" i="1"/>
  <c r="AJ82" i="1"/>
  <c r="AJ97" i="1"/>
  <c r="AJ112" i="1"/>
  <c r="AJ117" i="1"/>
  <c r="AW67" i="1"/>
  <c r="AW102" i="1"/>
  <c r="AW143" i="1"/>
  <c r="AR22" i="1"/>
  <c r="AW88" i="1"/>
  <c r="AN133" i="1"/>
  <c r="AN131" i="1"/>
  <c r="AW131" i="1" s="1"/>
  <c r="AW142" i="1"/>
  <c r="AW134" i="1"/>
  <c r="AW144" i="1"/>
  <c r="AW139" i="1"/>
  <c r="AW69" i="1"/>
  <c r="AJ23" i="1"/>
  <c r="AN24" i="1"/>
  <c r="AV26" i="1"/>
  <c r="AJ57" i="1"/>
  <c r="AJ59" i="1"/>
  <c r="AN60" i="1"/>
  <c r="AJ64" i="1"/>
  <c r="AW64" i="1" s="1"/>
  <c r="AN75" i="1"/>
  <c r="AJ94" i="1"/>
  <c r="AN95" i="1"/>
  <c r="AJ99" i="1"/>
  <c r="AN100" i="1"/>
  <c r="AJ114" i="1"/>
  <c r="AN115" i="1"/>
  <c r="AW120" i="1"/>
  <c r="AV3" i="1"/>
  <c r="AJ116" i="1"/>
  <c r="AN117" i="1"/>
  <c r="AN3" i="1"/>
  <c r="AN57" i="1"/>
  <c r="AJ58" i="1"/>
  <c r="AN59" i="1"/>
  <c r="AJ63" i="1"/>
  <c r="AN64" i="1"/>
  <c r="AJ78" i="1"/>
  <c r="AN79" i="1"/>
  <c r="AJ81" i="1"/>
  <c r="AN82" i="1"/>
  <c r="AW82" i="1" s="1"/>
  <c r="AJ93" i="1"/>
  <c r="AW93" i="1" s="1"/>
  <c r="AN94" i="1"/>
  <c r="AJ98" i="1"/>
  <c r="AW98" i="1" s="1"/>
  <c r="AN99" i="1"/>
  <c r="AJ111" i="1"/>
  <c r="AN112" i="1"/>
  <c r="AJ113" i="1"/>
  <c r="AW113" i="1" s="1"/>
  <c r="AN114" i="1"/>
  <c r="AJ118" i="1"/>
  <c r="AJ21" i="1"/>
  <c r="AN22" i="1"/>
  <c r="AR23" i="1"/>
  <c r="AV24" i="1"/>
  <c r="AJ26" i="1"/>
  <c r="AN27" i="1"/>
  <c r="AR28" i="1"/>
  <c r="AJ60" i="1"/>
  <c r="AW60" i="1" s="1"/>
  <c r="AN61" i="1"/>
  <c r="AW61" i="1" s="1"/>
  <c r="AJ75" i="1"/>
  <c r="AN76" i="1"/>
  <c r="AW76" i="1" s="1"/>
  <c r="AJ80" i="1"/>
  <c r="AW80" i="1" s="1"/>
  <c r="AN81" i="1"/>
  <c r="AJ95" i="1"/>
  <c r="AN96" i="1"/>
  <c r="AW96" i="1" s="1"/>
  <c r="AJ100" i="1"/>
  <c r="AW100" i="1" s="1"/>
  <c r="AN111" i="1"/>
  <c r="AJ115" i="1"/>
  <c r="AN116" i="1"/>
  <c r="AW68" i="1"/>
  <c r="AW103" i="1"/>
  <c r="AW118" i="1"/>
  <c r="AW75" i="1"/>
  <c r="AN10" i="1"/>
  <c r="AW84" i="1"/>
  <c r="AW109" i="1"/>
  <c r="AW89" i="1"/>
  <c r="AW66" i="1"/>
  <c r="AW85" i="1"/>
  <c r="AW86" i="1"/>
  <c r="AW34" i="1"/>
  <c r="AW87" i="1"/>
  <c r="AW122" i="1"/>
  <c r="AW126" i="1"/>
  <c r="AV9" i="1"/>
  <c r="AJ9" i="1"/>
  <c r="AV7" i="1"/>
  <c r="AN7" i="1"/>
  <c r="AR6" i="1"/>
  <c r="AJ6" i="1"/>
  <c r="AN5" i="1"/>
  <c r="AV4" i="1"/>
  <c r="AJ4" i="1"/>
  <c r="AR27" i="1"/>
  <c r="AN28" i="1"/>
  <c r="AW72" i="1"/>
  <c r="AW123" i="1"/>
  <c r="AW127" i="1"/>
  <c r="AW108" i="1"/>
  <c r="AJ44" i="1"/>
  <c r="AN48" i="1"/>
  <c r="AN54" i="1"/>
  <c r="AJ50" i="1"/>
  <c r="AN53" i="1"/>
  <c r="F40" i="1"/>
  <c r="AN40" i="1" s="1"/>
  <c r="AN49" i="1"/>
  <c r="A46" i="1"/>
  <c r="AJ46" i="1" s="1"/>
  <c r="AJ55" i="1"/>
  <c r="AN51" i="1"/>
  <c r="AJ54" i="1"/>
  <c r="AJ48" i="1"/>
  <c r="AN43" i="1"/>
  <c r="AN52" i="1"/>
  <c r="AJ49" i="1"/>
  <c r="AN44" i="1"/>
  <c r="G39" i="1"/>
  <c r="AN39" i="1" s="1"/>
  <c r="AN41" i="1"/>
  <c r="AN46" i="1"/>
  <c r="C39" i="1"/>
  <c r="AJ39" i="1" s="1"/>
  <c r="A41" i="1"/>
  <c r="AJ41" i="1" s="1"/>
  <c r="AJ51" i="1"/>
  <c r="AN55" i="1"/>
  <c r="AV10" i="1"/>
  <c r="AR9" i="1"/>
  <c r="AN8" i="1"/>
  <c r="AJ7" i="1"/>
  <c r="AN6" i="1"/>
  <c r="AJ5" i="1"/>
  <c r="AR4" i="1"/>
  <c r="F42" i="1"/>
  <c r="AN42" i="1" s="1"/>
  <c r="AN50" i="1"/>
  <c r="AJ3" i="1"/>
  <c r="AV6" i="1"/>
  <c r="AR25" i="1"/>
  <c r="AJ43" i="1"/>
  <c r="AR3" i="1"/>
  <c r="AJ52" i="1"/>
  <c r="AJ10" i="1"/>
  <c r="AJ8" i="1"/>
  <c r="AJ25" i="1"/>
  <c r="AV28" i="1"/>
  <c r="AW33" i="1"/>
  <c r="AJ53" i="1"/>
  <c r="AJ40" i="1"/>
  <c r="AJ42" i="1"/>
  <c r="D45" i="1"/>
  <c r="AJ45" i="1" s="1"/>
  <c r="AW13" i="1"/>
  <c r="AW31" i="1"/>
  <c r="AR21" i="1"/>
  <c r="AJ22" i="1"/>
  <c r="AV22" i="1"/>
  <c r="AN23" i="1"/>
  <c r="AJ24" i="1"/>
  <c r="AR24" i="1"/>
  <c r="AN25" i="1"/>
  <c r="AV25" i="1"/>
  <c r="AR26" i="1"/>
  <c r="AJ27" i="1"/>
  <c r="AV27" i="1"/>
  <c r="E45" i="1"/>
  <c r="AN45" i="1" s="1"/>
  <c r="AR7" i="1"/>
  <c r="AV8" i="1"/>
  <c r="AW12" i="1"/>
  <c r="AV5" i="1"/>
  <c r="AR5" i="1"/>
  <c r="AW14" i="1"/>
  <c r="AW15" i="1"/>
  <c r="AW19" i="1"/>
  <c r="AW16" i="1"/>
  <c r="AR8" i="1"/>
  <c r="AW17" i="1"/>
  <c r="AW18" i="1"/>
  <c r="AJ28" i="1"/>
  <c r="AW36" i="1"/>
  <c r="AW35" i="1"/>
  <c r="AW32" i="1"/>
  <c r="AW30" i="1"/>
  <c r="AW37" i="1"/>
  <c r="AW130" i="1" l="1"/>
  <c r="AW129" i="1"/>
  <c r="AW58" i="1"/>
  <c r="AW62" i="1"/>
  <c r="AW97" i="1"/>
  <c r="AW78" i="1"/>
  <c r="AW117" i="1"/>
  <c r="AW132" i="1"/>
  <c r="AW57" i="1"/>
  <c r="AW112" i="1"/>
  <c r="AW63" i="1"/>
  <c r="AW114" i="1"/>
  <c r="AW95" i="1"/>
  <c r="AW21" i="1"/>
  <c r="AW79" i="1"/>
  <c r="AW115" i="1"/>
  <c r="AW111" i="1"/>
  <c r="AW9" i="1"/>
  <c r="AW23" i="1"/>
  <c r="AW59" i="1"/>
  <c r="AW99" i="1"/>
  <c r="AW94" i="1"/>
  <c r="AW26" i="1"/>
  <c r="AW24" i="1"/>
  <c r="AW6" i="1"/>
  <c r="AW4" i="1"/>
  <c r="AW81" i="1"/>
  <c r="AW116" i="1"/>
  <c r="AW22" i="1"/>
  <c r="AW27" i="1"/>
  <c r="AW28" i="1"/>
  <c r="AW3" i="1"/>
  <c r="AW10" i="1"/>
  <c r="AW25" i="1"/>
  <c r="AW55" i="1"/>
  <c r="AW54" i="1"/>
  <c r="AW53" i="1"/>
  <c r="AW48" i="1"/>
  <c r="AW40" i="1"/>
  <c r="AW49" i="1"/>
  <c r="AW44" i="1"/>
  <c r="AW50" i="1"/>
  <c r="AW52" i="1"/>
  <c r="AW39" i="1"/>
  <c r="AW45" i="1"/>
  <c r="AW41" i="1"/>
  <c r="AW51" i="1"/>
  <c r="AW43" i="1"/>
  <c r="AW46" i="1"/>
  <c r="AW5" i="1"/>
  <c r="AW8" i="1"/>
  <c r="AW42" i="1"/>
  <c r="AW7" i="1"/>
</calcChain>
</file>

<file path=xl/sharedStrings.xml><?xml version="1.0" encoding="utf-8"?>
<sst xmlns="http://schemas.openxmlformats.org/spreadsheetml/2006/main" count="654" uniqueCount="68">
  <si>
    <t>,</t>
  </si>
  <si>
    <t xml:space="preserve">db </t>
  </si>
  <si>
    <t>divisor</t>
  </si>
  <si>
    <t>timer clock hz</t>
  </si>
  <si>
    <t>CGA</t>
  </si>
  <si>
    <t>System</t>
  </si>
  <si>
    <t>milliseconds</t>
  </si>
  <si>
    <r>
      <t>space_ship</t>
    </r>
    <r>
      <rPr>
        <sz val="12"/>
        <color rgb="FFCCCCCC"/>
        <rFont val="Menlo"/>
        <family val="2"/>
      </rPr>
      <t xml:space="preserve"> </t>
    </r>
    <r>
      <rPr>
        <sz val="12"/>
        <color rgb="FFDCDCAA"/>
        <rFont val="Menlo"/>
        <family val="2"/>
      </rPr>
      <t>dw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16</t>
    </r>
    <r>
      <rPr>
        <sz val="12"/>
        <color rgb="FFCCCCCC"/>
        <rFont val="Menlo"/>
        <family val="2"/>
      </rPr>
      <t>,</t>
    </r>
    <r>
      <rPr>
        <sz val="12"/>
        <color rgb="FFB5CEA8"/>
        <rFont val="Menlo"/>
        <family val="2"/>
      </rPr>
      <t>8</t>
    </r>
    <r>
      <rPr>
        <sz val="12"/>
        <color rgb="FFCCCCCC"/>
        <rFont val="Menlo"/>
        <family val="2"/>
      </rPr>
      <t>,</t>
    </r>
    <r>
      <rPr>
        <sz val="12"/>
        <color rgb="FFB5CEA8"/>
        <rFont val="Menlo"/>
        <family val="2"/>
      </rPr>
      <t>0</t>
    </r>
    <r>
      <rPr>
        <sz val="12"/>
        <color rgb="FFCCCCCC"/>
        <rFont val="Menlo"/>
        <family val="2"/>
      </rPr>
      <t>,</t>
    </r>
    <r>
      <rPr>
        <sz val="12"/>
        <color rgb="FFB5CEA8"/>
        <rFont val="Menlo"/>
        <family val="2"/>
      </rPr>
      <t>0</t>
    </r>
  </si>
  <si>
    <r>
      <t>alien_ship</t>
    </r>
    <r>
      <rPr>
        <sz val="12"/>
        <color rgb="FFCCCCCC"/>
        <rFont val="Menlo"/>
        <family val="2"/>
      </rPr>
      <t xml:space="preserve"> </t>
    </r>
    <r>
      <rPr>
        <sz val="12"/>
        <color rgb="FFDCDCAA"/>
        <rFont val="Menlo"/>
        <family val="2"/>
      </rPr>
      <t>dw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16</t>
    </r>
    <r>
      <rPr>
        <sz val="12"/>
        <color rgb="FFCCCCCC"/>
        <rFont val="Menlo"/>
        <family val="2"/>
      </rPr>
      <t>,</t>
    </r>
    <r>
      <rPr>
        <sz val="12"/>
        <color rgb="FFB5CEA8"/>
        <rFont val="Menlo"/>
        <family val="2"/>
      </rPr>
      <t>8</t>
    </r>
    <r>
      <rPr>
        <sz val="12"/>
        <color rgb="FFCCCCCC"/>
        <rFont val="Menlo"/>
        <family val="2"/>
      </rPr>
      <t>,</t>
    </r>
    <r>
      <rPr>
        <sz val="12"/>
        <color rgb="FFB5CEA8"/>
        <rFont val="Menlo"/>
        <family val="2"/>
      </rPr>
      <t>0</t>
    </r>
    <r>
      <rPr>
        <sz val="12"/>
        <color rgb="FFCCCCCC"/>
        <rFont val="Menlo"/>
        <family val="2"/>
      </rPr>
      <t>,</t>
    </r>
    <r>
      <rPr>
        <sz val="12"/>
        <color rgb="FFB5CEA8"/>
        <rFont val="Menlo"/>
        <family val="2"/>
      </rPr>
      <t>0</t>
    </r>
  </si>
  <si>
    <r>
      <t>asteroid</t>
    </r>
    <r>
      <rPr>
        <sz val="12"/>
        <color rgb="FFCCCCCC"/>
        <rFont val="Menlo"/>
        <family val="2"/>
      </rPr>
      <t xml:space="preserve"> </t>
    </r>
    <r>
      <rPr>
        <sz val="12"/>
        <color rgb="FFDCDCAA"/>
        <rFont val="Menlo"/>
        <family val="2"/>
      </rPr>
      <t>dw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8</t>
    </r>
    <r>
      <rPr>
        <sz val="12"/>
        <color rgb="FFCCCCCC"/>
        <rFont val="Menlo"/>
        <family val="2"/>
      </rPr>
      <t>,</t>
    </r>
    <r>
      <rPr>
        <sz val="12"/>
        <color rgb="FFB5CEA8"/>
        <rFont val="Menlo"/>
        <family val="2"/>
      </rPr>
      <t>8</t>
    </r>
    <r>
      <rPr>
        <sz val="12"/>
        <color rgb="FFCCCCCC"/>
        <rFont val="Menlo"/>
        <family val="2"/>
      </rPr>
      <t>,</t>
    </r>
    <r>
      <rPr>
        <sz val="12"/>
        <color rgb="FFB5CEA8"/>
        <rFont val="Menlo"/>
        <family val="2"/>
      </rPr>
      <t>0</t>
    </r>
    <r>
      <rPr>
        <sz val="12"/>
        <color rgb="FFCCCCCC"/>
        <rFont val="Menlo"/>
        <family val="2"/>
      </rPr>
      <t>,</t>
    </r>
    <r>
      <rPr>
        <sz val="12"/>
        <color rgb="FFB5CEA8"/>
        <rFont val="Menlo"/>
        <family val="2"/>
      </rPr>
      <t>0</t>
    </r>
  </si>
  <si>
    <r>
      <t>hatched_box</t>
    </r>
    <r>
      <rPr>
        <sz val="12"/>
        <color rgb="FFCCCCCC"/>
        <rFont val="Menlo"/>
        <family val="2"/>
      </rPr>
      <t xml:space="preserve"> </t>
    </r>
    <r>
      <rPr>
        <sz val="12"/>
        <color rgb="FFDCDCAA"/>
        <rFont val="Menlo"/>
        <family val="2"/>
      </rPr>
      <t>dw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8</t>
    </r>
    <r>
      <rPr>
        <sz val="12"/>
        <color rgb="FFCCCCCC"/>
        <rFont val="Menlo"/>
        <family val="2"/>
      </rPr>
      <t>,</t>
    </r>
    <r>
      <rPr>
        <sz val="12"/>
        <color rgb="FFB5CEA8"/>
        <rFont val="Menlo"/>
        <family val="2"/>
      </rPr>
      <t>8</t>
    </r>
    <r>
      <rPr>
        <sz val="12"/>
        <color rgb="FFCCCCCC"/>
        <rFont val="Menlo"/>
        <family val="2"/>
      </rPr>
      <t>,</t>
    </r>
    <r>
      <rPr>
        <sz val="12"/>
        <color rgb="FFB5CEA8"/>
        <rFont val="Menlo"/>
        <family val="2"/>
      </rPr>
      <t>0</t>
    </r>
    <r>
      <rPr>
        <sz val="12"/>
        <color rgb="FFCCCCCC"/>
        <rFont val="Menlo"/>
        <family val="2"/>
      </rPr>
      <t>,</t>
    </r>
    <r>
      <rPr>
        <sz val="12"/>
        <color rgb="FFB5CEA8"/>
        <rFont val="Menlo"/>
        <family val="2"/>
      </rPr>
      <t>0</t>
    </r>
  </si>
  <si>
    <r>
      <t>explode_1</t>
    </r>
    <r>
      <rPr>
        <sz val="12"/>
        <color rgb="FFCCCCCC"/>
        <rFont val="Menlo"/>
        <family val="2"/>
      </rPr>
      <t xml:space="preserve"> </t>
    </r>
    <r>
      <rPr>
        <sz val="12"/>
        <color rgb="FFDCDCAA"/>
        <rFont val="Menlo"/>
        <family val="2"/>
      </rPr>
      <t>dw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8</t>
    </r>
    <r>
      <rPr>
        <sz val="12"/>
        <color rgb="FFCCCCCC"/>
        <rFont val="Menlo"/>
        <family val="2"/>
      </rPr>
      <t>,</t>
    </r>
    <r>
      <rPr>
        <sz val="12"/>
        <color rgb="FFB5CEA8"/>
        <rFont val="Menlo"/>
        <family val="2"/>
      </rPr>
      <t>8</t>
    </r>
    <r>
      <rPr>
        <sz val="12"/>
        <color rgb="FFCCCCCC"/>
        <rFont val="Menlo"/>
        <family val="2"/>
      </rPr>
      <t>,</t>
    </r>
    <r>
      <rPr>
        <sz val="12"/>
        <color rgb="FFB5CEA8"/>
        <rFont val="Menlo"/>
        <family val="2"/>
      </rPr>
      <t>0</t>
    </r>
    <r>
      <rPr>
        <sz val="12"/>
        <color rgb="FFCCCCCC"/>
        <rFont val="Menlo"/>
        <family val="2"/>
      </rPr>
      <t>,</t>
    </r>
    <r>
      <rPr>
        <sz val="12"/>
        <color rgb="FFB5CEA8"/>
        <rFont val="Menlo"/>
        <family val="2"/>
      </rPr>
      <t>0</t>
    </r>
  </si>
  <si>
    <r>
      <t>explode_2</t>
    </r>
    <r>
      <rPr>
        <sz val="12"/>
        <color rgb="FFCCCCCC"/>
        <rFont val="Menlo"/>
        <family val="2"/>
      </rPr>
      <t xml:space="preserve"> </t>
    </r>
    <r>
      <rPr>
        <sz val="12"/>
        <color rgb="FFDCDCAA"/>
        <rFont val="Menlo"/>
        <family val="2"/>
      </rPr>
      <t>dw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8</t>
    </r>
    <r>
      <rPr>
        <sz val="12"/>
        <color rgb="FFCCCCCC"/>
        <rFont val="Menlo"/>
        <family val="2"/>
      </rPr>
      <t>,</t>
    </r>
    <r>
      <rPr>
        <sz val="12"/>
        <color rgb="FFB5CEA8"/>
        <rFont val="Menlo"/>
        <family val="2"/>
      </rPr>
      <t>8</t>
    </r>
    <r>
      <rPr>
        <sz val="12"/>
        <color rgb="FFCCCCCC"/>
        <rFont val="Menlo"/>
        <family val="2"/>
      </rPr>
      <t>,</t>
    </r>
    <r>
      <rPr>
        <sz val="12"/>
        <color rgb="FFB5CEA8"/>
        <rFont val="Menlo"/>
        <family val="2"/>
      </rPr>
      <t>0</t>
    </r>
    <r>
      <rPr>
        <sz val="12"/>
        <color rgb="FFCCCCCC"/>
        <rFont val="Menlo"/>
        <family val="2"/>
      </rPr>
      <t>,</t>
    </r>
    <r>
      <rPr>
        <sz val="12"/>
        <color rgb="FFB5CEA8"/>
        <rFont val="Menlo"/>
        <family val="2"/>
      </rPr>
      <t>0</t>
    </r>
  </si>
  <si>
    <r>
      <t>explode_3</t>
    </r>
    <r>
      <rPr>
        <sz val="12"/>
        <color rgb="FFCCCCCC"/>
        <rFont val="Menlo"/>
        <family val="2"/>
      </rPr>
      <t xml:space="preserve"> </t>
    </r>
    <r>
      <rPr>
        <sz val="12"/>
        <color rgb="FFDCDCAA"/>
        <rFont val="Menlo"/>
        <family val="2"/>
      </rPr>
      <t>dw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8</t>
    </r>
    <r>
      <rPr>
        <sz val="12"/>
        <color rgb="FFCCCCCC"/>
        <rFont val="Menlo"/>
        <family val="2"/>
      </rPr>
      <t>,</t>
    </r>
    <r>
      <rPr>
        <sz val="12"/>
        <color rgb="FFB5CEA8"/>
        <rFont val="Menlo"/>
        <family val="2"/>
      </rPr>
      <t>8</t>
    </r>
    <r>
      <rPr>
        <sz val="12"/>
        <color rgb="FFCCCCCC"/>
        <rFont val="Menlo"/>
        <family val="2"/>
      </rPr>
      <t>,</t>
    </r>
    <r>
      <rPr>
        <sz val="12"/>
        <color rgb="FFB5CEA8"/>
        <rFont val="Menlo"/>
        <family val="2"/>
      </rPr>
      <t>0</t>
    </r>
    <r>
      <rPr>
        <sz val="12"/>
        <color rgb="FFCCCCCC"/>
        <rFont val="Menlo"/>
        <family val="2"/>
      </rPr>
      <t>,</t>
    </r>
    <r>
      <rPr>
        <sz val="12"/>
        <color rgb="FFB5CEA8"/>
        <rFont val="Menlo"/>
        <family val="2"/>
      </rPr>
      <t>0</t>
    </r>
  </si>
  <si>
    <r>
      <t>explode_4</t>
    </r>
    <r>
      <rPr>
        <sz val="12"/>
        <color rgb="FFCCCCCC"/>
        <rFont val="Menlo"/>
        <family val="2"/>
      </rPr>
      <t xml:space="preserve"> </t>
    </r>
    <r>
      <rPr>
        <sz val="12"/>
        <color rgb="FFDCDCAA"/>
        <rFont val="Menlo"/>
        <family val="2"/>
      </rPr>
      <t>dw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8</t>
    </r>
    <r>
      <rPr>
        <sz val="12"/>
        <color rgb="FFCCCCCC"/>
        <rFont val="Menlo"/>
        <family val="2"/>
      </rPr>
      <t>,</t>
    </r>
    <r>
      <rPr>
        <sz val="12"/>
        <color rgb="FFB5CEA8"/>
        <rFont val="Menlo"/>
        <family val="2"/>
      </rPr>
      <t>8</t>
    </r>
    <r>
      <rPr>
        <sz val="12"/>
        <color rgb="FFCCCCCC"/>
        <rFont val="Menlo"/>
        <family val="2"/>
      </rPr>
      <t>,</t>
    </r>
    <r>
      <rPr>
        <sz val="12"/>
        <color rgb="FFB5CEA8"/>
        <rFont val="Menlo"/>
        <family val="2"/>
      </rPr>
      <t>0</t>
    </r>
    <r>
      <rPr>
        <sz val="12"/>
        <color rgb="FFCCCCCC"/>
        <rFont val="Menlo"/>
        <family val="2"/>
      </rPr>
      <t>,</t>
    </r>
    <r>
      <rPr>
        <sz val="12"/>
        <color rgb="FFB5CEA8"/>
        <rFont val="Menlo"/>
        <family val="2"/>
      </rPr>
      <t>0</t>
    </r>
  </si>
  <si>
    <t>explosion</t>
  </si>
  <si>
    <t>pit freq</t>
  </si>
  <si>
    <t xml:space="preserve">laser </t>
  </si>
  <si>
    <t>freq</t>
  </si>
  <si>
    <t>big_space_ship dw 32,16,0,0</t>
  </si>
  <si>
    <t>numeral_1 dw 8,8,2</t>
  </si>
  <si>
    <t>numeral_2 dw 8,8,2</t>
  </si>
  <si>
    <t>numeral_3 dw 8,8,2</t>
  </si>
  <si>
    <t>numeral_4 dw 8,8,2</t>
  </si>
  <si>
    <t>numeral_5 dw 8,8,2</t>
  </si>
  <si>
    <t>numeral_6 dw 8,8,2</t>
  </si>
  <si>
    <t>numeral_7 dw 8,8,2</t>
  </si>
  <si>
    <t>numeral_8 dw 8,8,2</t>
  </si>
  <si>
    <t>numeral_9 dw 8,8,2</t>
  </si>
  <si>
    <t>numeral_0 dw 8,8,2</t>
  </si>
  <si>
    <t>Notes</t>
  </si>
  <si>
    <t>C4</t>
  </si>
  <si>
    <t>C#4</t>
  </si>
  <si>
    <t>D4</t>
  </si>
  <si>
    <t>D#4</t>
  </si>
  <si>
    <t>E4</t>
  </si>
  <si>
    <t>F4</t>
  </si>
  <si>
    <t>F#4</t>
  </si>
  <si>
    <t>G4</t>
  </si>
  <si>
    <t>G#4</t>
  </si>
  <si>
    <t>A4</t>
  </si>
  <si>
    <t>C5</t>
  </si>
  <si>
    <t>C#5</t>
  </si>
  <si>
    <t>D5</t>
  </si>
  <si>
    <t>D#5</t>
  </si>
  <si>
    <t>E5</t>
  </si>
  <si>
    <t>F5</t>
  </si>
  <si>
    <t>F#5</t>
  </si>
  <si>
    <t>G5</t>
  </si>
  <si>
    <t>G#5</t>
  </si>
  <si>
    <t>A5</t>
  </si>
  <si>
    <t>A#5</t>
  </si>
  <si>
    <t>B5</t>
  </si>
  <si>
    <t>C6</t>
  </si>
  <si>
    <t>C#6</t>
  </si>
  <si>
    <t>D6</t>
  </si>
  <si>
    <t>D#6</t>
  </si>
  <si>
    <t>E6</t>
  </si>
  <si>
    <t>F6</t>
  </si>
  <si>
    <t>F#6</t>
  </si>
  <si>
    <t>G6</t>
  </si>
  <si>
    <t>G#6</t>
  </si>
  <si>
    <t>A6</t>
  </si>
  <si>
    <t>A#6</t>
  </si>
  <si>
    <t>B6</t>
  </si>
  <si>
    <t>R</t>
  </si>
  <si>
    <t>melody</t>
  </si>
  <si>
    <t>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</si>
</sst>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CCCCCC"/>
      <name val="Menlo"/>
      <family val="2"/>
    </font>
    <font>
      <sz val="12"/>
      <color rgb="FFDCDCAA"/>
      <name val="Menlo"/>
      <family val="2"/>
    </font>
    <font>
      <sz val="12"/>
      <color rgb="FFB5CEA8"/>
      <name val="Menlo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4">
    <dxf>
      <fill>
        <patternFill>
          <bgColor theme="1"/>
        </patternFill>
      </fill>
    </dxf>
    <dxf>
      <fill>
        <patternFill>
          <bgColor theme="7" tint="0.79998168889431442"/>
        </patternFill>
      </fill>
    </dxf>
    <dxf>
      <fill>
        <patternFill>
          <bgColor rgb="FFFF00FF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2461F-61B0-2E44-AABB-E8E0EF13BD2E}">
  <dimension ref="A2:BN194"/>
  <sheetViews>
    <sheetView topLeftCell="A169" zoomScaleNormal="100" workbookViewId="0">
      <selection activeCell="U169" sqref="U169"/>
    </sheetView>
  </sheetViews>
  <sheetFormatPr baseColWidth="10" defaultRowHeight="16" x14ac:dyDescent="0.2"/>
  <cols>
    <col min="1" max="34" width="3" customWidth="1"/>
    <col min="36" max="37" width="5" customWidth="1"/>
    <col min="38" max="39" width="5" hidden="1" customWidth="1"/>
    <col min="40" max="41" width="5" customWidth="1"/>
    <col min="42" max="43" width="5" hidden="1" customWidth="1"/>
    <col min="44" max="45" width="5" customWidth="1"/>
    <col min="46" max="47" width="5" hidden="1" customWidth="1"/>
    <col min="48" max="49" width="5" customWidth="1"/>
    <col min="50" max="51" width="0" hidden="1" customWidth="1"/>
    <col min="52" max="53" width="4.5" customWidth="1"/>
    <col min="54" max="55" width="4.5" hidden="1" customWidth="1"/>
    <col min="56" max="57" width="4.5" customWidth="1"/>
    <col min="58" max="59" width="4.5" hidden="1" customWidth="1"/>
    <col min="60" max="61" width="4.5" customWidth="1"/>
    <col min="62" max="63" width="4.5" hidden="1" customWidth="1"/>
    <col min="64" max="65" width="4.5" customWidth="1"/>
  </cols>
  <sheetData>
    <row r="2" spans="1:49" x14ac:dyDescent="0.2">
      <c r="AI2" s="1" t="s">
        <v>8</v>
      </c>
    </row>
    <row r="3" spans="1:49" x14ac:dyDescent="0.2">
      <c r="A3">
        <f>IF(A12&gt;0,0,3)</f>
        <v>3</v>
      </c>
      <c r="B3">
        <f t="shared" ref="B3:AH3" si="0">IF(B12&gt;0,0,3)</f>
        <v>3</v>
      </c>
      <c r="C3">
        <f t="shared" si="0"/>
        <v>3</v>
      </c>
      <c r="D3">
        <f t="shared" si="0"/>
        <v>3</v>
      </c>
      <c r="E3">
        <f t="shared" si="0"/>
        <v>3</v>
      </c>
      <c r="F3">
        <f t="shared" si="0"/>
        <v>0</v>
      </c>
      <c r="G3">
        <f t="shared" si="0"/>
        <v>3</v>
      </c>
      <c r="H3">
        <f t="shared" si="0"/>
        <v>3</v>
      </c>
      <c r="I3">
        <f t="shared" si="0"/>
        <v>3</v>
      </c>
      <c r="J3">
        <f t="shared" si="0"/>
        <v>3</v>
      </c>
      <c r="K3">
        <f t="shared" si="0"/>
        <v>3</v>
      </c>
      <c r="L3">
        <f t="shared" si="0"/>
        <v>3</v>
      </c>
      <c r="M3">
        <f t="shared" si="0"/>
        <v>0</v>
      </c>
      <c r="N3">
        <f t="shared" si="0"/>
        <v>3</v>
      </c>
      <c r="O3">
        <f t="shared" si="0"/>
        <v>3</v>
      </c>
      <c r="P3">
        <f t="shared" si="0"/>
        <v>3</v>
      </c>
      <c r="Q3">
        <f t="shared" si="0"/>
        <v>3</v>
      </c>
      <c r="R3">
        <f t="shared" si="0"/>
        <v>3</v>
      </c>
      <c r="S3">
        <f t="shared" si="0"/>
        <v>3</v>
      </c>
      <c r="T3">
        <f t="shared" si="0"/>
        <v>3</v>
      </c>
      <c r="U3">
        <f t="shared" si="0"/>
        <v>3</v>
      </c>
      <c r="V3">
        <f t="shared" si="0"/>
        <v>3</v>
      </c>
      <c r="W3">
        <f t="shared" si="0"/>
        <v>3</v>
      </c>
      <c r="X3">
        <f t="shared" si="0"/>
        <v>3</v>
      </c>
      <c r="Y3">
        <f t="shared" si="0"/>
        <v>3</v>
      </c>
      <c r="Z3">
        <f t="shared" si="0"/>
        <v>3</v>
      </c>
      <c r="AA3">
        <f t="shared" si="0"/>
        <v>3</v>
      </c>
      <c r="AB3">
        <f t="shared" si="0"/>
        <v>3</v>
      </c>
      <c r="AC3">
        <f t="shared" si="0"/>
        <v>3</v>
      </c>
      <c r="AD3">
        <f t="shared" si="0"/>
        <v>3</v>
      </c>
      <c r="AE3">
        <f t="shared" si="0"/>
        <v>3</v>
      </c>
      <c r="AF3">
        <f t="shared" si="0"/>
        <v>3</v>
      </c>
      <c r="AG3">
        <f t="shared" si="0"/>
        <v>3</v>
      </c>
      <c r="AH3">
        <f t="shared" si="0"/>
        <v>3</v>
      </c>
      <c r="AI3" t="s">
        <v>1</v>
      </c>
      <c r="AJ3" t="str">
        <f>"0"&amp;DEC2HEX(A3*64+B3*16+C3*4+D3)&amp;"h"</f>
        <v>0FFh</v>
      </c>
      <c r="AK3" t="s">
        <v>0</v>
      </c>
      <c r="AN3" t="str">
        <f>"0"&amp;DEC2HEX(E3*64+F3*16+G3*4+H3)&amp;"h"</f>
        <v>0CFh</v>
      </c>
      <c r="AO3" t="s">
        <v>0</v>
      </c>
      <c r="AR3" t="str">
        <f>"0"&amp;DEC2HEX(I3*64+J3*16+K3*4+L3)&amp;"h"</f>
        <v>0FFh</v>
      </c>
      <c r="AS3" t="s">
        <v>0</v>
      </c>
      <c r="AV3" t="str">
        <f>"0"&amp;DEC2HEX(M3*64+N3*16+O3*4+P3)&amp;"h"</f>
        <v>03Fh</v>
      </c>
      <c r="AW3" t="str">
        <f>_xlfn.CONCAT(AI3:AV3)</f>
        <v>db 0FFh,0CFh,0FFh,03Fh</v>
      </c>
    </row>
    <row r="4" spans="1:49" x14ac:dyDescent="0.2">
      <c r="A4">
        <f t="shared" ref="A4:AH4" si="1">IF(A13&gt;0,0,3)</f>
        <v>3</v>
      </c>
      <c r="B4">
        <f t="shared" si="1"/>
        <v>3</v>
      </c>
      <c r="C4">
        <f t="shared" si="1"/>
        <v>3</v>
      </c>
      <c r="D4">
        <f t="shared" si="1"/>
        <v>3</v>
      </c>
      <c r="E4">
        <f t="shared" si="1"/>
        <v>3</v>
      </c>
      <c r="F4">
        <f t="shared" si="1"/>
        <v>3</v>
      </c>
      <c r="G4">
        <f t="shared" si="1"/>
        <v>0</v>
      </c>
      <c r="H4">
        <f t="shared" si="1"/>
        <v>3</v>
      </c>
      <c r="I4">
        <f t="shared" si="1"/>
        <v>3</v>
      </c>
      <c r="J4">
        <f t="shared" si="1"/>
        <v>3</v>
      </c>
      <c r="K4">
        <f t="shared" si="1"/>
        <v>3</v>
      </c>
      <c r="L4">
        <f t="shared" si="1"/>
        <v>0</v>
      </c>
      <c r="M4">
        <f t="shared" si="1"/>
        <v>3</v>
      </c>
      <c r="N4">
        <f t="shared" si="1"/>
        <v>3</v>
      </c>
      <c r="O4">
        <f t="shared" si="1"/>
        <v>3</v>
      </c>
      <c r="P4">
        <f t="shared" si="1"/>
        <v>3</v>
      </c>
      <c r="Q4">
        <f t="shared" si="1"/>
        <v>3</v>
      </c>
      <c r="R4">
        <f t="shared" si="1"/>
        <v>3</v>
      </c>
      <c r="S4">
        <f t="shared" si="1"/>
        <v>3</v>
      </c>
      <c r="T4">
        <f t="shared" si="1"/>
        <v>3</v>
      </c>
      <c r="U4">
        <f t="shared" si="1"/>
        <v>3</v>
      </c>
      <c r="V4">
        <f t="shared" si="1"/>
        <v>3</v>
      </c>
      <c r="W4">
        <f t="shared" si="1"/>
        <v>3</v>
      </c>
      <c r="X4">
        <f t="shared" si="1"/>
        <v>3</v>
      </c>
      <c r="Y4">
        <f t="shared" si="1"/>
        <v>3</v>
      </c>
      <c r="Z4">
        <f t="shared" si="1"/>
        <v>3</v>
      </c>
      <c r="AA4">
        <f t="shared" si="1"/>
        <v>3</v>
      </c>
      <c r="AB4">
        <f t="shared" si="1"/>
        <v>3</v>
      </c>
      <c r="AC4">
        <f t="shared" si="1"/>
        <v>3</v>
      </c>
      <c r="AD4">
        <f t="shared" si="1"/>
        <v>3</v>
      </c>
      <c r="AE4">
        <f t="shared" si="1"/>
        <v>3</v>
      </c>
      <c r="AF4">
        <f t="shared" si="1"/>
        <v>3</v>
      </c>
      <c r="AG4">
        <f t="shared" si="1"/>
        <v>3</v>
      </c>
      <c r="AH4">
        <f t="shared" si="1"/>
        <v>3</v>
      </c>
      <c r="AI4" t="s">
        <v>1</v>
      </c>
      <c r="AJ4" t="str">
        <f>"0"&amp;DEC2HEX(A4*64+B4*16+C4*4+D4)&amp;"h"</f>
        <v>0FFh</v>
      </c>
      <c r="AK4" t="s">
        <v>0</v>
      </c>
      <c r="AN4" t="str">
        <f>"0"&amp;DEC2HEX(E4*64+F4*16+G4*4+H4)&amp;"h"</f>
        <v>0F3h</v>
      </c>
      <c r="AO4" t="s">
        <v>0</v>
      </c>
      <c r="AR4" t="str">
        <f>"0"&amp;DEC2HEX(I4*64+J4*16+K4*4+L4)&amp;"h"</f>
        <v>0FCh</v>
      </c>
      <c r="AS4" t="s">
        <v>0</v>
      </c>
      <c r="AV4" t="str">
        <f>"0"&amp;DEC2HEX(M4*64+N4*16+O4*4+P4)&amp;"h"</f>
        <v>0FFh</v>
      </c>
      <c r="AW4" t="str">
        <f>_xlfn.CONCAT(AI4:AV4)</f>
        <v>db 0FFh,0F3h,0FCh,0FFh</v>
      </c>
    </row>
    <row r="5" spans="1:49" x14ac:dyDescent="0.2">
      <c r="A5">
        <f t="shared" ref="A5:AH5" si="2">IF(A14&gt;0,0,3)</f>
        <v>3</v>
      </c>
      <c r="B5">
        <f t="shared" si="2"/>
        <v>3</v>
      </c>
      <c r="C5">
        <f t="shared" si="2"/>
        <v>3</v>
      </c>
      <c r="D5">
        <f t="shared" si="2"/>
        <v>3</v>
      </c>
      <c r="E5">
        <f t="shared" si="2"/>
        <v>0</v>
      </c>
      <c r="F5">
        <f t="shared" si="2"/>
        <v>0</v>
      </c>
      <c r="G5">
        <f t="shared" si="2"/>
        <v>0</v>
      </c>
      <c r="H5">
        <f t="shared" si="2"/>
        <v>0</v>
      </c>
      <c r="I5">
        <f t="shared" si="2"/>
        <v>0</v>
      </c>
      <c r="J5">
        <f t="shared" si="2"/>
        <v>0</v>
      </c>
      <c r="K5">
        <f t="shared" si="2"/>
        <v>0</v>
      </c>
      <c r="L5">
        <f t="shared" si="2"/>
        <v>0</v>
      </c>
      <c r="M5">
        <f t="shared" si="2"/>
        <v>0</v>
      </c>
      <c r="N5">
        <f t="shared" si="2"/>
        <v>0</v>
      </c>
      <c r="O5">
        <f t="shared" si="2"/>
        <v>3</v>
      </c>
      <c r="P5">
        <f t="shared" si="2"/>
        <v>3</v>
      </c>
      <c r="Q5">
        <f t="shared" si="2"/>
        <v>3</v>
      </c>
      <c r="R5">
        <f t="shared" si="2"/>
        <v>3</v>
      </c>
      <c r="S5">
        <f t="shared" si="2"/>
        <v>3</v>
      </c>
      <c r="T5">
        <f t="shared" si="2"/>
        <v>3</v>
      </c>
      <c r="U5">
        <f t="shared" si="2"/>
        <v>3</v>
      </c>
      <c r="V5">
        <f t="shared" si="2"/>
        <v>3</v>
      </c>
      <c r="W5">
        <f t="shared" si="2"/>
        <v>3</v>
      </c>
      <c r="X5">
        <f t="shared" si="2"/>
        <v>3</v>
      </c>
      <c r="Y5">
        <f t="shared" si="2"/>
        <v>3</v>
      </c>
      <c r="Z5">
        <f t="shared" si="2"/>
        <v>3</v>
      </c>
      <c r="AA5">
        <f t="shared" si="2"/>
        <v>3</v>
      </c>
      <c r="AB5">
        <f t="shared" si="2"/>
        <v>3</v>
      </c>
      <c r="AC5">
        <f t="shared" si="2"/>
        <v>3</v>
      </c>
      <c r="AD5">
        <f t="shared" si="2"/>
        <v>3</v>
      </c>
      <c r="AE5">
        <f t="shared" si="2"/>
        <v>3</v>
      </c>
      <c r="AF5">
        <f t="shared" si="2"/>
        <v>3</v>
      </c>
      <c r="AG5">
        <f t="shared" si="2"/>
        <v>3</v>
      </c>
      <c r="AH5">
        <f t="shared" si="2"/>
        <v>3</v>
      </c>
      <c r="AI5" t="s">
        <v>1</v>
      </c>
      <c r="AJ5" t="str">
        <f>"0"&amp;DEC2HEX(A5*64+B5*16+C5*4+D5)&amp;"h"</f>
        <v>0FFh</v>
      </c>
      <c r="AK5" t="s">
        <v>0</v>
      </c>
      <c r="AN5" t="str">
        <f>"0"&amp;DEC2HEX(E5*64+F5*16+G5*4+H5)&amp;"h"</f>
        <v>00h</v>
      </c>
      <c r="AO5" t="s">
        <v>0</v>
      </c>
      <c r="AR5" t="str">
        <f>"0"&amp;DEC2HEX(I5*64+J5*16+K5*4+L5)&amp;"h"</f>
        <v>00h</v>
      </c>
      <c r="AS5" t="s">
        <v>0</v>
      </c>
      <c r="AV5" t="str">
        <f>"0"&amp;DEC2HEX(M5*64+N5*16+O5*4+P5)&amp;"h"</f>
        <v>0Fh</v>
      </c>
      <c r="AW5" t="str">
        <f>_xlfn.CONCAT(AI5:AV5)</f>
        <v>db 0FFh,00h,00h,0Fh</v>
      </c>
    </row>
    <row r="6" spans="1:49" x14ac:dyDescent="0.2">
      <c r="A6">
        <f t="shared" ref="A6:AH6" si="3">IF(A15&gt;0,0,3)</f>
        <v>3</v>
      </c>
      <c r="B6">
        <f t="shared" si="3"/>
        <v>3</v>
      </c>
      <c r="C6">
        <f t="shared" si="3"/>
        <v>3</v>
      </c>
      <c r="D6">
        <f t="shared" si="3"/>
        <v>0</v>
      </c>
      <c r="E6">
        <f t="shared" si="3"/>
        <v>3</v>
      </c>
      <c r="F6">
        <f t="shared" si="3"/>
        <v>0</v>
      </c>
      <c r="G6">
        <f t="shared" si="3"/>
        <v>3</v>
      </c>
      <c r="H6">
        <f t="shared" si="3"/>
        <v>3</v>
      </c>
      <c r="I6">
        <f t="shared" si="3"/>
        <v>3</v>
      </c>
      <c r="J6">
        <f t="shared" si="3"/>
        <v>3</v>
      </c>
      <c r="K6">
        <f t="shared" si="3"/>
        <v>3</v>
      </c>
      <c r="L6">
        <f t="shared" si="3"/>
        <v>3</v>
      </c>
      <c r="M6">
        <f t="shared" si="3"/>
        <v>0</v>
      </c>
      <c r="N6">
        <f t="shared" si="3"/>
        <v>3</v>
      </c>
      <c r="O6">
        <f t="shared" si="3"/>
        <v>0</v>
      </c>
      <c r="P6">
        <f t="shared" si="3"/>
        <v>3</v>
      </c>
      <c r="Q6">
        <f t="shared" si="3"/>
        <v>3</v>
      </c>
      <c r="R6">
        <f t="shared" si="3"/>
        <v>3</v>
      </c>
      <c r="S6">
        <f t="shared" si="3"/>
        <v>3</v>
      </c>
      <c r="T6">
        <f t="shared" si="3"/>
        <v>3</v>
      </c>
      <c r="U6">
        <f t="shared" si="3"/>
        <v>3</v>
      </c>
      <c r="V6">
        <f t="shared" si="3"/>
        <v>3</v>
      </c>
      <c r="W6">
        <f t="shared" si="3"/>
        <v>3</v>
      </c>
      <c r="X6">
        <f t="shared" si="3"/>
        <v>3</v>
      </c>
      <c r="Y6">
        <f t="shared" si="3"/>
        <v>3</v>
      </c>
      <c r="Z6">
        <f t="shared" si="3"/>
        <v>3</v>
      </c>
      <c r="AA6">
        <f t="shared" si="3"/>
        <v>3</v>
      </c>
      <c r="AB6">
        <f t="shared" si="3"/>
        <v>3</v>
      </c>
      <c r="AC6">
        <f t="shared" si="3"/>
        <v>3</v>
      </c>
      <c r="AD6">
        <f t="shared" si="3"/>
        <v>3</v>
      </c>
      <c r="AE6">
        <f t="shared" si="3"/>
        <v>3</v>
      </c>
      <c r="AF6">
        <f t="shared" si="3"/>
        <v>3</v>
      </c>
      <c r="AG6">
        <f t="shared" si="3"/>
        <v>3</v>
      </c>
      <c r="AH6">
        <f t="shared" si="3"/>
        <v>3</v>
      </c>
      <c r="AI6" t="s">
        <v>1</v>
      </c>
      <c r="AJ6" t="str">
        <f>"0"&amp;DEC2HEX(A6*64+B6*16+C6*4+D6)&amp;"h"</f>
        <v>0FCh</v>
      </c>
      <c r="AK6" t="s">
        <v>0</v>
      </c>
      <c r="AN6" t="str">
        <f>"0"&amp;DEC2HEX(E6*64+F6*16+G6*4+H6)&amp;"h"</f>
        <v>0CFh</v>
      </c>
      <c r="AO6" t="s">
        <v>0</v>
      </c>
      <c r="AR6" t="str">
        <f>"0"&amp;DEC2HEX(I6*64+J6*16+K6*4+L6)&amp;"h"</f>
        <v>0FFh</v>
      </c>
      <c r="AS6" t="s">
        <v>0</v>
      </c>
      <c r="AV6" t="str">
        <f>"0"&amp;DEC2HEX(M6*64+N6*16+O6*4+P6)&amp;"h"</f>
        <v>033h</v>
      </c>
      <c r="AW6" t="str">
        <f>_xlfn.CONCAT(AI6:AV6)</f>
        <v>db 0FCh,0CFh,0FFh,033h</v>
      </c>
    </row>
    <row r="7" spans="1:49" x14ac:dyDescent="0.2">
      <c r="A7">
        <f t="shared" ref="A7:AH7" si="4">IF(A16&gt;0,0,3)</f>
        <v>3</v>
      </c>
      <c r="B7">
        <f t="shared" si="4"/>
        <v>3</v>
      </c>
      <c r="C7">
        <f t="shared" si="4"/>
        <v>0</v>
      </c>
      <c r="D7">
        <f t="shared" si="4"/>
        <v>0</v>
      </c>
      <c r="E7">
        <f t="shared" si="4"/>
        <v>3</v>
      </c>
      <c r="F7">
        <f t="shared" si="4"/>
        <v>3</v>
      </c>
      <c r="G7">
        <f t="shared" si="4"/>
        <v>0</v>
      </c>
      <c r="H7">
        <f t="shared" si="4"/>
        <v>0</v>
      </c>
      <c r="I7">
        <f t="shared" si="4"/>
        <v>3</v>
      </c>
      <c r="J7">
        <f t="shared" si="4"/>
        <v>3</v>
      </c>
      <c r="K7">
        <f t="shared" si="4"/>
        <v>0</v>
      </c>
      <c r="L7">
        <f t="shared" si="4"/>
        <v>0</v>
      </c>
      <c r="M7">
        <f t="shared" si="4"/>
        <v>3</v>
      </c>
      <c r="N7">
        <f t="shared" si="4"/>
        <v>3</v>
      </c>
      <c r="O7">
        <f t="shared" si="4"/>
        <v>0</v>
      </c>
      <c r="P7">
        <f t="shared" si="4"/>
        <v>0</v>
      </c>
      <c r="Q7">
        <f t="shared" si="4"/>
        <v>3</v>
      </c>
      <c r="R7">
        <f t="shared" si="4"/>
        <v>3</v>
      </c>
      <c r="S7">
        <f t="shared" si="4"/>
        <v>3</v>
      </c>
      <c r="T7">
        <f t="shared" si="4"/>
        <v>3</v>
      </c>
      <c r="U7">
        <f t="shared" si="4"/>
        <v>3</v>
      </c>
      <c r="V7">
        <f t="shared" si="4"/>
        <v>3</v>
      </c>
      <c r="W7">
        <f t="shared" si="4"/>
        <v>3</v>
      </c>
      <c r="X7">
        <f t="shared" si="4"/>
        <v>3</v>
      </c>
      <c r="Y7">
        <f t="shared" si="4"/>
        <v>3</v>
      </c>
      <c r="Z7">
        <f t="shared" si="4"/>
        <v>3</v>
      </c>
      <c r="AA7">
        <f t="shared" si="4"/>
        <v>3</v>
      </c>
      <c r="AB7">
        <f t="shared" si="4"/>
        <v>3</v>
      </c>
      <c r="AC7">
        <f t="shared" si="4"/>
        <v>3</v>
      </c>
      <c r="AD7">
        <f t="shared" si="4"/>
        <v>3</v>
      </c>
      <c r="AE7">
        <f t="shared" si="4"/>
        <v>3</v>
      </c>
      <c r="AF7">
        <f t="shared" si="4"/>
        <v>3</v>
      </c>
      <c r="AG7">
        <f t="shared" si="4"/>
        <v>3</v>
      </c>
      <c r="AH7">
        <f t="shared" si="4"/>
        <v>3</v>
      </c>
      <c r="AI7" t="s">
        <v>1</v>
      </c>
      <c r="AJ7" t="str">
        <f>"0"&amp;DEC2HEX(A7*64+B7*16+C7*4+D7)&amp;"h"</f>
        <v>0F0h</v>
      </c>
      <c r="AK7" t="s">
        <v>0</v>
      </c>
      <c r="AN7" t="str">
        <f>"0"&amp;DEC2HEX(E7*64+F7*16+G7*4+H7)&amp;"h"</f>
        <v>0F0h</v>
      </c>
      <c r="AO7" t="s">
        <v>0</v>
      </c>
      <c r="AR7" t="str">
        <f>"0"&amp;DEC2HEX(I7*64+J7*16+K7*4+L7)&amp;"h"</f>
        <v>0F0h</v>
      </c>
      <c r="AS7" t="s">
        <v>0</v>
      </c>
      <c r="AV7" t="str">
        <f>"0"&amp;DEC2HEX(M7*64+N7*16+O7*4+P7)&amp;"h"</f>
        <v>0F0h</v>
      </c>
      <c r="AW7" t="str">
        <f>_xlfn.CONCAT(AI7:AV7)</f>
        <v>db 0F0h,0F0h,0F0h,0F0h</v>
      </c>
    </row>
    <row r="8" spans="1:49" x14ac:dyDescent="0.2">
      <c r="A8">
        <f t="shared" ref="A8:AH8" si="5">IF(A17&gt;0,0,3)</f>
        <v>3</v>
      </c>
      <c r="B8">
        <f t="shared" si="5"/>
        <v>3</v>
      </c>
      <c r="C8">
        <f t="shared" si="5"/>
        <v>3</v>
      </c>
      <c r="D8">
        <f t="shared" si="5"/>
        <v>0</v>
      </c>
      <c r="E8">
        <f t="shared" si="5"/>
        <v>3</v>
      </c>
      <c r="F8">
        <f t="shared" si="5"/>
        <v>3</v>
      </c>
      <c r="G8">
        <f t="shared" si="5"/>
        <v>3</v>
      </c>
      <c r="H8">
        <f t="shared" si="5"/>
        <v>0</v>
      </c>
      <c r="I8">
        <f t="shared" si="5"/>
        <v>0</v>
      </c>
      <c r="J8">
        <f t="shared" si="5"/>
        <v>0</v>
      </c>
      <c r="K8">
        <f t="shared" si="5"/>
        <v>0</v>
      </c>
      <c r="L8">
        <f t="shared" si="5"/>
        <v>3</v>
      </c>
      <c r="M8">
        <f t="shared" si="5"/>
        <v>3</v>
      </c>
      <c r="N8">
        <f t="shared" si="5"/>
        <v>3</v>
      </c>
      <c r="O8">
        <f t="shared" si="5"/>
        <v>0</v>
      </c>
      <c r="P8">
        <f t="shared" si="5"/>
        <v>3</v>
      </c>
      <c r="Q8">
        <f t="shared" si="5"/>
        <v>3</v>
      </c>
      <c r="R8">
        <f t="shared" si="5"/>
        <v>3</v>
      </c>
      <c r="S8">
        <f t="shared" si="5"/>
        <v>3</v>
      </c>
      <c r="T8">
        <f t="shared" si="5"/>
        <v>3</v>
      </c>
      <c r="U8">
        <f t="shared" si="5"/>
        <v>3</v>
      </c>
      <c r="V8">
        <f t="shared" si="5"/>
        <v>3</v>
      </c>
      <c r="W8">
        <f t="shared" si="5"/>
        <v>3</v>
      </c>
      <c r="X8">
        <f t="shared" si="5"/>
        <v>3</v>
      </c>
      <c r="Y8">
        <f t="shared" si="5"/>
        <v>3</v>
      </c>
      <c r="Z8">
        <f t="shared" si="5"/>
        <v>3</v>
      </c>
      <c r="AA8">
        <f t="shared" si="5"/>
        <v>3</v>
      </c>
      <c r="AB8">
        <f t="shared" si="5"/>
        <v>3</v>
      </c>
      <c r="AC8">
        <f t="shared" si="5"/>
        <v>3</v>
      </c>
      <c r="AD8">
        <f t="shared" si="5"/>
        <v>3</v>
      </c>
      <c r="AE8">
        <f t="shared" si="5"/>
        <v>3</v>
      </c>
      <c r="AF8">
        <f t="shared" si="5"/>
        <v>3</v>
      </c>
      <c r="AG8">
        <f t="shared" si="5"/>
        <v>3</v>
      </c>
      <c r="AH8">
        <f t="shared" si="5"/>
        <v>3</v>
      </c>
      <c r="AI8" t="s">
        <v>1</v>
      </c>
      <c r="AJ8" t="str">
        <f>"0"&amp;DEC2HEX(A8*64+B8*16+C8*4+D8)&amp;"h"</f>
        <v>0FCh</v>
      </c>
      <c r="AK8" t="s">
        <v>0</v>
      </c>
      <c r="AN8" t="str">
        <f>"0"&amp;DEC2HEX(E8*64+F8*16+G8*4+H8)&amp;"h"</f>
        <v>0FCh</v>
      </c>
      <c r="AO8" t="s">
        <v>0</v>
      </c>
      <c r="AR8" t="str">
        <f>"0"&amp;DEC2HEX(I8*64+J8*16+K8*4+L8)&amp;"h"</f>
        <v>03h</v>
      </c>
      <c r="AS8" t="s">
        <v>0</v>
      </c>
      <c r="AV8" t="str">
        <f>"0"&amp;DEC2HEX(M8*64+N8*16+O8*4+P8)&amp;"h"</f>
        <v>0F3h</v>
      </c>
      <c r="AW8" t="str">
        <f>_xlfn.CONCAT(AI8:AV8)</f>
        <v>db 0FCh,0FCh,03h,0F3h</v>
      </c>
    </row>
    <row r="9" spans="1:49" x14ac:dyDescent="0.2">
      <c r="A9">
        <f t="shared" ref="A9:AH9" si="6">IF(A18&gt;0,0,3)</f>
        <v>3</v>
      </c>
      <c r="B9">
        <f t="shared" si="6"/>
        <v>3</v>
      </c>
      <c r="C9">
        <f t="shared" si="6"/>
        <v>3</v>
      </c>
      <c r="D9">
        <f t="shared" si="6"/>
        <v>3</v>
      </c>
      <c r="E9">
        <f t="shared" si="6"/>
        <v>0</v>
      </c>
      <c r="F9">
        <f t="shared" si="6"/>
        <v>3</v>
      </c>
      <c r="G9">
        <f t="shared" si="6"/>
        <v>3</v>
      </c>
      <c r="H9">
        <f t="shared" si="6"/>
        <v>3</v>
      </c>
      <c r="I9">
        <f t="shared" si="6"/>
        <v>0</v>
      </c>
      <c r="J9">
        <f t="shared" si="6"/>
        <v>0</v>
      </c>
      <c r="K9">
        <f t="shared" si="6"/>
        <v>3</v>
      </c>
      <c r="L9">
        <f t="shared" si="6"/>
        <v>3</v>
      </c>
      <c r="M9">
        <f t="shared" si="6"/>
        <v>3</v>
      </c>
      <c r="N9">
        <f t="shared" si="6"/>
        <v>0</v>
      </c>
      <c r="O9">
        <f t="shared" si="6"/>
        <v>3</v>
      </c>
      <c r="P9">
        <f t="shared" si="6"/>
        <v>3</v>
      </c>
      <c r="Q9">
        <f t="shared" si="6"/>
        <v>3</v>
      </c>
      <c r="R9">
        <f t="shared" si="6"/>
        <v>3</v>
      </c>
      <c r="S9">
        <f t="shared" si="6"/>
        <v>3</v>
      </c>
      <c r="T9">
        <f t="shared" si="6"/>
        <v>3</v>
      </c>
      <c r="U9">
        <f t="shared" si="6"/>
        <v>3</v>
      </c>
      <c r="V9">
        <f t="shared" si="6"/>
        <v>3</v>
      </c>
      <c r="W9">
        <f t="shared" si="6"/>
        <v>3</v>
      </c>
      <c r="X9">
        <f t="shared" si="6"/>
        <v>3</v>
      </c>
      <c r="Y9">
        <f t="shared" si="6"/>
        <v>3</v>
      </c>
      <c r="Z9">
        <f t="shared" si="6"/>
        <v>3</v>
      </c>
      <c r="AA9">
        <f t="shared" si="6"/>
        <v>3</v>
      </c>
      <c r="AB9">
        <f t="shared" si="6"/>
        <v>3</v>
      </c>
      <c r="AC9">
        <f t="shared" si="6"/>
        <v>3</v>
      </c>
      <c r="AD9">
        <f t="shared" si="6"/>
        <v>3</v>
      </c>
      <c r="AE9">
        <f t="shared" si="6"/>
        <v>3</v>
      </c>
      <c r="AF9">
        <f t="shared" si="6"/>
        <v>3</v>
      </c>
      <c r="AG9">
        <f t="shared" si="6"/>
        <v>3</v>
      </c>
      <c r="AH9">
        <f t="shared" si="6"/>
        <v>3</v>
      </c>
      <c r="AI9" t="s">
        <v>1</v>
      </c>
      <c r="AJ9" t="str">
        <f>"0"&amp;DEC2HEX(A9*64+B9*16+C9*4+D9)&amp;"h"</f>
        <v>0FFh</v>
      </c>
      <c r="AK9" t="s">
        <v>0</v>
      </c>
      <c r="AN9" t="str">
        <f>"0"&amp;DEC2HEX(E9*64+F9*16+G9*4+H9)&amp;"h"</f>
        <v>03Fh</v>
      </c>
      <c r="AO9" t="s">
        <v>0</v>
      </c>
      <c r="AR9" t="str">
        <f>"0"&amp;DEC2HEX(I9*64+J9*16+K9*4+L9)&amp;"h"</f>
        <v>0Fh</v>
      </c>
      <c r="AS9" t="s">
        <v>0</v>
      </c>
      <c r="AV9" t="str">
        <f>"0"&amp;DEC2HEX(M9*64+N9*16+O9*4+P9)&amp;"h"</f>
        <v>0CFh</v>
      </c>
      <c r="AW9" t="str">
        <f>_xlfn.CONCAT(AI9:AV9)</f>
        <v>db 0FFh,03Fh,0Fh,0CFh</v>
      </c>
    </row>
    <row r="10" spans="1:49" x14ac:dyDescent="0.2">
      <c r="A10">
        <f t="shared" ref="A10:AH10" si="7">IF(A19&gt;0,0,3)</f>
        <v>3</v>
      </c>
      <c r="B10">
        <f t="shared" si="7"/>
        <v>3</v>
      </c>
      <c r="C10">
        <f t="shared" si="7"/>
        <v>3</v>
      </c>
      <c r="D10">
        <f t="shared" si="7"/>
        <v>3</v>
      </c>
      <c r="E10">
        <f t="shared" si="7"/>
        <v>3</v>
      </c>
      <c r="F10">
        <f t="shared" si="7"/>
        <v>0</v>
      </c>
      <c r="G10">
        <f t="shared" si="7"/>
        <v>0</v>
      </c>
      <c r="H10">
        <f t="shared" si="7"/>
        <v>0</v>
      </c>
      <c r="I10">
        <f t="shared" si="7"/>
        <v>0</v>
      </c>
      <c r="J10">
        <f t="shared" si="7"/>
        <v>0</v>
      </c>
      <c r="K10">
        <f t="shared" si="7"/>
        <v>0</v>
      </c>
      <c r="L10">
        <f t="shared" si="7"/>
        <v>0</v>
      </c>
      <c r="M10">
        <f t="shared" si="7"/>
        <v>0</v>
      </c>
      <c r="N10">
        <f t="shared" si="7"/>
        <v>3</v>
      </c>
      <c r="O10">
        <f t="shared" si="7"/>
        <v>3</v>
      </c>
      <c r="P10">
        <f t="shared" si="7"/>
        <v>3</v>
      </c>
      <c r="Q10">
        <f t="shared" si="7"/>
        <v>3</v>
      </c>
      <c r="R10">
        <f t="shared" si="7"/>
        <v>3</v>
      </c>
      <c r="S10">
        <f t="shared" si="7"/>
        <v>3</v>
      </c>
      <c r="T10">
        <f t="shared" si="7"/>
        <v>3</v>
      </c>
      <c r="U10">
        <f t="shared" si="7"/>
        <v>3</v>
      </c>
      <c r="V10">
        <f t="shared" si="7"/>
        <v>3</v>
      </c>
      <c r="W10">
        <f t="shared" si="7"/>
        <v>3</v>
      </c>
      <c r="X10">
        <f t="shared" si="7"/>
        <v>3</v>
      </c>
      <c r="Y10">
        <f t="shared" si="7"/>
        <v>3</v>
      </c>
      <c r="Z10">
        <f t="shared" si="7"/>
        <v>3</v>
      </c>
      <c r="AA10">
        <f t="shared" si="7"/>
        <v>3</v>
      </c>
      <c r="AB10">
        <f t="shared" si="7"/>
        <v>3</v>
      </c>
      <c r="AC10">
        <f t="shared" si="7"/>
        <v>3</v>
      </c>
      <c r="AD10">
        <f t="shared" si="7"/>
        <v>3</v>
      </c>
      <c r="AE10">
        <f t="shared" si="7"/>
        <v>3</v>
      </c>
      <c r="AF10">
        <f t="shared" si="7"/>
        <v>3</v>
      </c>
      <c r="AG10">
        <f t="shared" si="7"/>
        <v>3</v>
      </c>
      <c r="AH10">
        <f t="shared" si="7"/>
        <v>3</v>
      </c>
      <c r="AI10" t="s">
        <v>1</v>
      </c>
      <c r="AJ10" t="str">
        <f>"0"&amp;DEC2HEX(A10*64+B10*16+C10*4+D10)&amp;"h"</f>
        <v>0FFh</v>
      </c>
      <c r="AK10" t="s">
        <v>0</v>
      </c>
      <c r="AN10" t="str">
        <f>"0"&amp;DEC2HEX(E10*64+F10*16+G10*4+H10)&amp;"h"</f>
        <v>0C0h</v>
      </c>
      <c r="AO10" t="s">
        <v>0</v>
      </c>
      <c r="AR10" t="str">
        <f>"0"&amp;DEC2HEX(I10*64+J10*16+K10*4+L10)&amp;"h"</f>
        <v>00h</v>
      </c>
      <c r="AS10" t="s">
        <v>0</v>
      </c>
      <c r="AV10" t="str">
        <f>"0"&amp;DEC2HEX(M10*64+N10*16+O10*4+P10)&amp;"h"</f>
        <v>03Fh</v>
      </c>
      <c r="AW10" t="str">
        <f>_xlfn.CONCAT(AI10:AV10)</f>
        <v>db 0FFh,0C0h,00h,03Fh</v>
      </c>
    </row>
    <row r="11" spans="1:49" x14ac:dyDescent="0.2">
      <c r="A11">
        <v>3</v>
      </c>
      <c r="E11">
        <v>3</v>
      </c>
      <c r="I11">
        <v>3</v>
      </c>
      <c r="M11">
        <v>3</v>
      </c>
      <c r="Q11">
        <v>3</v>
      </c>
    </row>
    <row r="12" spans="1:49" x14ac:dyDescent="0.2">
      <c r="F12">
        <v>2</v>
      </c>
      <c r="M12">
        <v>2</v>
      </c>
      <c r="AI12" t="s">
        <v>1</v>
      </c>
      <c r="AJ12" t="str">
        <f>"0"&amp;DEC2HEX(A12*64+B12*16+C12*4+D12)&amp;"h"</f>
        <v>00h</v>
      </c>
      <c r="AK12" t="s">
        <v>0</v>
      </c>
      <c r="AN12" t="str">
        <f>"0"&amp;DEC2HEX(E12*64+F12*16+G12*4+H12)&amp;"h"</f>
        <v>020h</v>
      </c>
      <c r="AO12" t="s">
        <v>0</v>
      </c>
      <c r="AR12" t="str">
        <f>"0"&amp;DEC2HEX(I12*64+J12*16+K12*4+L12)&amp;"h"</f>
        <v>00h</v>
      </c>
      <c r="AS12" t="s">
        <v>0</v>
      </c>
      <c r="AV12" t="str">
        <f>"0"&amp;DEC2HEX(M12*64+N12*16+O12*4+P12)&amp;"h"</f>
        <v>080h</v>
      </c>
      <c r="AW12" t="str">
        <f>_xlfn.CONCAT(AI12:AV12)</f>
        <v>db 00h,020h,00h,080h</v>
      </c>
    </row>
    <row r="13" spans="1:49" x14ac:dyDescent="0.2">
      <c r="G13">
        <v>2</v>
      </c>
      <c r="L13">
        <v>2</v>
      </c>
      <c r="AI13" t="s">
        <v>1</v>
      </c>
      <c r="AJ13" t="str">
        <f>"0"&amp;DEC2HEX(A13*64+B13*16+C13*4+D13)&amp;"h"</f>
        <v>00h</v>
      </c>
      <c r="AK13" t="s">
        <v>0</v>
      </c>
      <c r="AN13" t="str">
        <f>"0"&amp;DEC2HEX(E13*64+F13*16+G13*4+H13)&amp;"h"</f>
        <v>08h</v>
      </c>
      <c r="AO13" t="s">
        <v>0</v>
      </c>
      <c r="AR13" t="str">
        <f>"0"&amp;DEC2HEX(I13*64+J13*16+K13*4+L13)&amp;"h"</f>
        <v>02h</v>
      </c>
      <c r="AS13" t="s">
        <v>0</v>
      </c>
      <c r="AV13" t="str">
        <f>"0"&amp;DEC2HEX(M13*64+N13*16+O13*4+P13)&amp;"h"</f>
        <v>00h</v>
      </c>
      <c r="AW13" t="str">
        <f>_xlfn.CONCAT(AI13:AV13)</f>
        <v>db 00h,08h,02h,00h</v>
      </c>
    </row>
    <row r="14" spans="1:49" x14ac:dyDescent="0.2"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AI14" t="s">
        <v>1</v>
      </c>
      <c r="AJ14" t="str">
        <f>"0"&amp;DEC2HEX(A14*64+B14*16+C14*4+D14)&amp;"h"</f>
        <v>00h</v>
      </c>
      <c r="AK14" t="s">
        <v>0</v>
      </c>
      <c r="AN14" t="str">
        <f>"0"&amp;DEC2HEX(E14*64+F14*16+G14*4+H14)&amp;"h"</f>
        <v>0AAh</v>
      </c>
      <c r="AO14" t="s">
        <v>0</v>
      </c>
      <c r="AR14" t="str">
        <f>"0"&amp;DEC2HEX(I14*64+J14*16+K14*4+L14)&amp;"h"</f>
        <v>0AAh</v>
      </c>
      <c r="AS14" t="s">
        <v>0</v>
      </c>
      <c r="AV14" t="str">
        <f>"0"&amp;DEC2HEX(M14*64+N14*16+O14*4+P14)&amp;"h"</f>
        <v>0A0h</v>
      </c>
      <c r="AW14" t="str">
        <f>_xlfn.CONCAT(AI14:AV14)</f>
        <v>db 00h,0AAh,0AAh,0A0h</v>
      </c>
    </row>
    <row r="15" spans="1:49" x14ac:dyDescent="0.2">
      <c r="D15">
        <v>2</v>
      </c>
      <c r="F15">
        <v>2</v>
      </c>
      <c r="M15">
        <v>2</v>
      </c>
      <c r="O15">
        <v>2</v>
      </c>
      <c r="AI15" t="s">
        <v>1</v>
      </c>
      <c r="AJ15" t="str">
        <f>"0"&amp;DEC2HEX(A15*64+B15*16+C15*4+D15)&amp;"h"</f>
        <v>02h</v>
      </c>
      <c r="AK15" t="s">
        <v>0</v>
      </c>
      <c r="AN15" t="str">
        <f>"0"&amp;DEC2HEX(E15*64+F15*16+G15*4+H15)&amp;"h"</f>
        <v>020h</v>
      </c>
      <c r="AO15" t="s">
        <v>0</v>
      </c>
      <c r="AR15" t="str">
        <f>"0"&amp;DEC2HEX(I15*64+J15*16+K15*4+L15)&amp;"h"</f>
        <v>00h</v>
      </c>
      <c r="AS15" t="s">
        <v>0</v>
      </c>
      <c r="AV15" t="str">
        <f>"0"&amp;DEC2HEX(M15*64+N15*16+O15*4+P15)&amp;"h"</f>
        <v>088h</v>
      </c>
      <c r="AW15" t="str">
        <f>_xlfn.CONCAT(AI15:AV15)</f>
        <v>db 02h,020h,00h,088h</v>
      </c>
    </row>
    <row r="16" spans="1:49" x14ac:dyDescent="0.2">
      <c r="C16">
        <v>2</v>
      </c>
      <c r="D16">
        <v>2</v>
      </c>
      <c r="G16">
        <v>2</v>
      </c>
      <c r="H16">
        <v>1</v>
      </c>
      <c r="K16">
        <v>1</v>
      </c>
      <c r="L16">
        <v>2</v>
      </c>
      <c r="O16">
        <v>2</v>
      </c>
      <c r="P16">
        <v>2</v>
      </c>
      <c r="AI16" t="s">
        <v>1</v>
      </c>
      <c r="AJ16" t="str">
        <f>"0"&amp;DEC2HEX(A16*64+B16*16+C16*4+D16)&amp;"h"</f>
        <v>0Ah</v>
      </c>
      <c r="AK16" t="s">
        <v>0</v>
      </c>
      <c r="AN16" t="str">
        <f>"0"&amp;DEC2HEX(E16*64+F16*16+G16*4+H16)&amp;"h"</f>
        <v>09h</v>
      </c>
      <c r="AO16" t="s">
        <v>0</v>
      </c>
      <c r="AR16" t="str">
        <f>"0"&amp;DEC2HEX(I16*64+J16*16+K16*4+L16)&amp;"h"</f>
        <v>06h</v>
      </c>
      <c r="AS16" t="s">
        <v>0</v>
      </c>
      <c r="AV16" t="str">
        <f>"0"&amp;DEC2HEX(M16*64+N16*16+O16*4+P16)&amp;"h"</f>
        <v>0Ah</v>
      </c>
      <c r="AW16" t="str">
        <f>_xlfn.CONCAT(AI16:AV16)</f>
        <v>db 0Ah,09h,06h,0Ah</v>
      </c>
    </row>
    <row r="17" spans="1:49" x14ac:dyDescent="0.2">
      <c r="D17">
        <v>2</v>
      </c>
      <c r="H17">
        <v>2</v>
      </c>
      <c r="I17">
        <v>1</v>
      </c>
      <c r="J17">
        <v>1</v>
      </c>
      <c r="K17">
        <v>2</v>
      </c>
      <c r="O17">
        <v>2</v>
      </c>
      <c r="AI17" t="s">
        <v>1</v>
      </c>
      <c r="AJ17" t="str">
        <f>"0"&amp;DEC2HEX(A17*64+B17*16+C17*4+D17)&amp;"h"</f>
        <v>02h</v>
      </c>
      <c r="AK17" t="s">
        <v>0</v>
      </c>
      <c r="AN17" t="str">
        <f>"0"&amp;DEC2HEX(E17*64+F17*16+G17*4+H17)&amp;"h"</f>
        <v>02h</v>
      </c>
      <c r="AO17" t="s">
        <v>0</v>
      </c>
      <c r="AR17" t="str">
        <f>"0"&amp;DEC2HEX(I17*64+J17*16+K17*4+L17)&amp;"h"</f>
        <v>058h</v>
      </c>
      <c r="AS17" t="s">
        <v>0</v>
      </c>
      <c r="AV17" t="str">
        <f>"0"&amp;DEC2HEX(M17*64+N17*16+O17*4+P17)&amp;"h"</f>
        <v>08h</v>
      </c>
      <c r="AW17" t="str">
        <f>_xlfn.CONCAT(AI17:AV17)</f>
        <v>db 02h,02h,058h,08h</v>
      </c>
    </row>
    <row r="18" spans="1:49" x14ac:dyDescent="0.2">
      <c r="E18">
        <v>2</v>
      </c>
      <c r="I18">
        <v>2</v>
      </c>
      <c r="J18">
        <v>2</v>
      </c>
      <c r="N18">
        <v>2</v>
      </c>
      <c r="AI18" t="s">
        <v>1</v>
      </c>
      <c r="AJ18" t="str">
        <f>"0"&amp;DEC2HEX(A18*64+B18*16+C18*4+D18)&amp;"h"</f>
        <v>00h</v>
      </c>
      <c r="AK18" t="s">
        <v>0</v>
      </c>
      <c r="AN18" t="str">
        <f>"0"&amp;DEC2HEX(E18*64+F18*16+G18*4+H18)&amp;"h"</f>
        <v>080h</v>
      </c>
      <c r="AO18" t="s">
        <v>0</v>
      </c>
      <c r="AR18" t="str">
        <f>"0"&amp;DEC2HEX(I18*64+J18*16+K18*4+L18)&amp;"h"</f>
        <v>0A0h</v>
      </c>
      <c r="AS18" t="s">
        <v>0</v>
      </c>
      <c r="AV18" t="str">
        <f>"0"&amp;DEC2HEX(M18*64+N18*16+O18*4+P18)&amp;"h"</f>
        <v>020h</v>
      </c>
      <c r="AW18" t="str">
        <f>_xlfn.CONCAT(AI18:AV18)</f>
        <v>db 00h,080h,0A0h,020h</v>
      </c>
    </row>
    <row r="19" spans="1:49" x14ac:dyDescent="0.2"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AI19" t="s">
        <v>1</v>
      </c>
      <c r="AJ19" t="str">
        <f>"0"&amp;DEC2HEX(A19*64+B19*16+C19*4+D19)&amp;"h"</f>
        <v>00h</v>
      </c>
      <c r="AK19" t="s">
        <v>0</v>
      </c>
      <c r="AN19" t="str">
        <f>"0"&amp;DEC2HEX(E19*64+F19*16+G19*4+H19)&amp;"h"</f>
        <v>02Ah</v>
      </c>
      <c r="AO19" t="s">
        <v>0</v>
      </c>
      <c r="AR19" t="str">
        <f>"0"&amp;DEC2HEX(I19*64+J19*16+K19*4+L19)&amp;"h"</f>
        <v>0AAh</v>
      </c>
      <c r="AS19" t="s">
        <v>0</v>
      </c>
      <c r="AV19" t="str">
        <f>"0"&amp;DEC2HEX(M19*64+N19*16+O19*4+P19)&amp;"h"</f>
        <v>080h</v>
      </c>
      <c r="AW19" t="str">
        <f>_xlfn.CONCAT(AI19:AV19)</f>
        <v>db 00h,02Ah,0AAh,080h</v>
      </c>
    </row>
    <row r="20" spans="1:49" x14ac:dyDescent="0.2">
      <c r="AI20" s="1" t="s">
        <v>7</v>
      </c>
    </row>
    <row r="21" spans="1:49" x14ac:dyDescent="0.2">
      <c r="A21">
        <f>IF(A30&gt;0,0,3)</f>
        <v>3</v>
      </c>
      <c r="B21">
        <f t="shared" ref="B21:AH21" si="8">IF(B30&gt;0,0,3)</f>
        <v>3</v>
      </c>
      <c r="C21">
        <f t="shared" si="8"/>
        <v>3</v>
      </c>
      <c r="D21">
        <f t="shared" si="8"/>
        <v>3</v>
      </c>
      <c r="E21">
        <f t="shared" si="8"/>
        <v>3</v>
      </c>
      <c r="F21">
        <f t="shared" si="8"/>
        <v>3</v>
      </c>
      <c r="G21">
        <f t="shared" si="8"/>
        <v>3</v>
      </c>
      <c r="H21">
        <f t="shared" si="8"/>
        <v>3</v>
      </c>
      <c r="I21">
        <f t="shared" si="8"/>
        <v>3</v>
      </c>
      <c r="J21">
        <f t="shared" si="8"/>
        <v>3</v>
      </c>
      <c r="K21">
        <f t="shared" si="8"/>
        <v>3</v>
      </c>
      <c r="L21">
        <f t="shared" si="8"/>
        <v>3</v>
      </c>
      <c r="M21">
        <f t="shared" si="8"/>
        <v>3</v>
      </c>
      <c r="N21">
        <f t="shared" si="8"/>
        <v>3</v>
      </c>
      <c r="O21">
        <f t="shared" si="8"/>
        <v>3</v>
      </c>
      <c r="P21">
        <f t="shared" si="8"/>
        <v>3</v>
      </c>
      <c r="Q21">
        <f t="shared" si="8"/>
        <v>3</v>
      </c>
      <c r="R21">
        <f t="shared" si="8"/>
        <v>3</v>
      </c>
      <c r="S21">
        <f t="shared" si="8"/>
        <v>3</v>
      </c>
      <c r="T21">
        <f t="shared" si="8"/>
        <v>3</v>
      </c>
      <c r="U21">
        <f t="shared" si="8"/>
        <v>3</v>
      </c>
      <c r="V21">
        <f t="shared" si="8"/>
        <v>3</v>
      </c>
      <c r="W21">
        <f t="shared" si="8"/>
        <v>3</v>
      </c>
      <c r="X21">
        <f t="shared" si="8"/>
        <v>3</v>
      </c>
      <c r="Y21">
        <f t="shared" si="8"/>
        <v>3</v>
      </c>
      <c r="Z21">
        <f t="shared" si="8"/>
        <v>3</v>
      </c>
      <c r="AA21">
        <f t="shared" si="8"/>
        <v>3</v>
      </c>
      <c r="AB21">
        <f t="shared" si="8"/>
        <v>3</v>
      </c>
      <c r="AC21">
        <f t="shared" si="8"/>
        <v>3</v>
      </c>
      <c r="AD21">
        <f t="shared" si="8"/>
        <v>3</v>
      </c>
      <c r="AE21">
        <f t="shared" si="8"/>
        <v>3</v>
      </c>
      <c r="AF21">
        <f t="shared" si="8"/>
        <v>3</v>
      </c>
      <c r="AG21">
        <f t="shared" si="8"/>
        <v>3</v>
      </c>
      <c r="AH21">
        <f t="shared" si="8"/>
        <v>3</v>
      </c>
      <c r="AI21" t="s">
        <v>1</v>
      </c>
      <c r="AJ21" t="str">
        <f>"0"&amp;DEC2HEX(A21*64+B21*16+C21*4+D21)&amp;"h"</f>
        <v>0FFh</v>
      </c>
      <c r="AK21" t="s">
        <v>0</v>
      </c>
      <c r="AN21" t="str">
        <f>"0"&amp;DEC2HEX(E21*64+F21*16+G21*4+H21)&amp;"h"</f>
        <v>0FFh</v>
      </c>
      <c r="AO21" t="s">
        <v>0</v>
      </c>
      <c r="AR21" t="str">
        <f>"0"&amp;DEC2HEX(I21*64+J21*16+K21*4+L21)&amp;"h"</f>
        <v>0FFh</v>
      </c>
      <c r="AS21" t="s">
        <v>0</v>
      </c>
      <c r="AV21" t="str">
        <f>"0"&amp;DEC2HEX(M21*64+N21*16+O21*4+P21)&amp;"h"</f>
        <v>0FFh</v>
      </c>
      <c r="AW21" t="str">
        <f>_xlfn.CONCAT(AI21:AV21)</f>
        <v>db 0FFh,0FFh,0FFh,0FFh</v>
      </c>
    </row>
    <row r="22" spans="1:49" x14ac:dyDescent="0.2">
      <c r="A22">
        <f t="shared" ref="A22:AH22" si="9">IF(A31&gt;0,0,3)</f>
        <v>3</v>
      </c>
      <c r="B22">
        <f t="shared" si="9"/>
        <v>3</v>
      </c>
      <c r="C22">
        <f t="shared" si="9"/>
        <v>3</v>
      </c>
      <c r="D22">
        <f t="shared" si="9"/>
        <v>3</v>
      </c>
      <c r="E22">
        <f t="shared" si="9"/>
        <v>3</v>
      </c>
      <c r="F22">
        <f t="shared" si="9"/>
        <v>3</v>
      </c>
      <c r="G22">
        <f t="shared" si="9"/>
        <v>3</v>
      </c>
      <c r="H22">
        <f t="shared" si="9"/>
        <v>3</v>
      </c>
      <c r="I22">
        <f t="shared" si="9"/>
        <v>3</v>
      </c>
      <c r="J22">
        <f t="shared" si="9"/>
        <v>0</v>
      </c>
      <c r="K22">
        <f t="shared" si="9"/>
        <v>0</v>
      </c>
      <c r="L22">
        <f t="shared" si="9"/>
        <v>3</v>
      </c>
      <c r="M22">
        <f t="shared" si="9"/>
        <v>3</v>
      </c>
      <c r="N22">
        <f t="shared" si="9"/>
        <v>3</v>
      </c>
      <c r="O22">
        <f t="shared" si="9"/>
        <v>3</v>
      </c>
      <c r="P22">
        <f t="shared" si="9"/>
        <v>3</v>
      </c>
      <c r="Q22">
        <f t="shared" si="9"/>
        <v>3</v>
      </c>
      <c r="R22">
        <f t="shared" si="9"/>
        <v>3</v>
      </c>
      <c r="S22">
        <f t="shared" si="9"/>
        <v>3</v>
      </c>
      <c r="T22">
        <f t="shared" si="9"/>
        <v>3</v>
      </c>
      <c r="U22">
        <f t="shared" si="9"/>
        <v>3</v>
      </c>
      <c r="V22">
        <f t="shared" si="9"/>
        <v>3</v>
      </c>
      <c r="W22">
        <f t="shared" si="9"/>
        <v>3</v>
      </c>
      <c r="X22">
        <f t="shared" si="9"/>
        <v>3</v>
      </c>
      <c r="Y22">
        <f t="shared" si="9"/>
        <v>3</v>
      </c>
      <c r="Z22">
        <f t="shared" si="9"/>
        <v>3</v>
      </c>
      <c r="AA22">
        <f t="shared" si="9"/>
        <v>3</v>
      </c>
      <c r="AB22">
        <f t="shared" si="9"/>
        <v>3</v>
      </c>
      <c r="AC22">
        <f t="shared" si="9"/>
        <v>3</v>
      </c>
      <c r="AD22">
        <f t="shared" si="9"/>
        <v>3</v>
      </c>
      <c r="AE22">
        <f t="shared" si="9"/>
        <v>3</v>
      </c>
      <c r="AF22">
        <f t="shared" si="9"/>
        <v>3</v>
      </c>
      <c r="AG22">
        <f t="shared" si="9"/>
        <v>3</v>
      </c>
      <c r="AH22">
        <f t="shared" si="9"/>
        <v>3</v>
      </c>
      <c r="AI22" t="s">
        <v>1</v>
      </c>
      <c r="AJ22" t="str">
        <f>"0"&amp;DEC2HEX(A22*64+B22*16+C22*4+D22)&amp;"h"</f>
        <v>0FFh</v>
      </c>
      <c r="AK22" t="s">
        <v>0</v>
      </c>
      <c r="AN22" t="str">
        <f>"0"&amp;DEC2HEX(E22*64+F22*16+G22*4+H22)&amp;"h"</f>
        <v>0FFh</v>
      </c>
      <c r="AO22" t="s">
        <v>0</v>
      </c>
      <c r="AR22" t="str">
        <f>"0"&amp;DEC2HEX(I22*64+J22*16+K22*4+L22)&amp;"h"</f>
        <v>0C3h</v>
      </c>
      <c r="AS22" t="s">
        <v>0</v>
      </c>
      <c r="AV22" t="str">
        <f>"0"&amp;DEC2HEX(M22*64+N22*16+O22*4+P22)&amp;"h"</f>
        <v>0FFh</v>
      </c>
      <c r="AW22" t="str">
        <f>_xlfn.CONCAT(AI22:AV22)</f>
        <v>db 0FFh,0FFh,0C3h,0FFh</v>
      </c>
    </row>
    <row r="23" spans="1:49" x14ac:dyDescent="0.2">
      <c r="A23">
        <f t="shared" ref="A23:AH23" si="10">IF(A32&gt;0,0,3)</f>
        <v>3</v>
      </c>
      <c r="B23">
        <f t="shared" si="10"/>
        <v>3</v>
      </c>
      <c r="C23">
        <f t="shared" si="10"/>
        <v>3</v>
      </c>
      <c r="D23">
        <f t="shared" si="10"/>
        <v>3</v>
      </c>
      <c r="E23">
        <f t="shared" si="10"/>
        <v>3</v>
      </c>
      <c r="F23">
        <f t="shared" si="10"/>
        <v>3</v>
      </c>
      <c r="G23">
        <f t="shared" si="10"/>
        <v>3</v>
      </c>
      <c r="H23">
        <f t="shared" si="10"/>
        <v>3</v>
      </c>
      <c r="I23">
        <f t="shared" si="10"/>
        <v>3</v>
      </c>
      <c r="J23">
        <f t="shared" si="10"/>
        <v>3</v>
      </c>
      <c r="K23">
        <f t="shared" si="10"/>
        <v>0</v>
      </c>
      <c r="L23">
        <f t="shared" si="10"/>
        <v>0</v>
      </c>
      <c r="M23">
        <f t="shared" si="10"/>
        <v>0</v>
      </c>
      <c r="N23">
        <f t="shared" si="10"/>
        <v>3</v>
      </c>
      <c r="O23">
        <f t="shared" si="10"/>
        <v>3</v>
      </c>
      <c r="P23">
        <f t="shared" si="10"/>
        <v>3</v>
      </c>
      <c r="Q23">
        <f t="shared" si="10"/>
        <v>3</v>
      </c>
      <c r="R23">
        <f t="shared" si="10"/>
        <v>3</v>
      </c>
      <c r="S23">
        <f t="shared" si="10"/>
        <v>3</v>
      </c>
      <c r="T23">
        <f t="shared" si="10"/>
        <v>3</v>
      </c>
      <c r="U23">
        <f t="shared" si="10"/>
        <v>3</v>
      </c>
      <c r="V23">
        <f t="shared" si="10"/>
        <v>3</v>
      </c>
      <c r="W23">
        <f t="shared" si="10"/>
        <v>3</v>
      </c>
      <c r="X23">
        <f t="shared" si="10"/>
        <v>3</v>
      </c>
      <c r="Y23">
        <f t="shared" si="10"/>
        <v>3</v>
      </c>
      <c r="Z23">
        <f t="shared" si="10"/>
        <v>3</v>
      </c>
      <c r="AA23">
        <f t="shared" si="10"/>
        <v>3</v>
      </c>
      <c r="AB23">
        <f t="shared" si="10"/>
        <v>3</v>
      </c>
      <c r="AC23">
        <f t="shared" si="10"/>
        <v>3</v>
      </c>
      <c r="AD23">
        <f t="shared" si="10"/>
        <v>3</v>
      </c>
      <c r="AE23">
        <f t="shared" si="10"/>
        <v>3</v>
      </c>
      <c r="AF23">
        <f t="shared" si="10"/>
        <v>3</v>
      </c>
      <c r="AG23">
        <f t="shared" si="10"/>
        <v>3</v>
      </c>
      <c r="AH23">
        <f t="shared" si="10"/>
        <v>3</v>
      </c>
      <c r="AI23" t="s">
        <v>1</v>
      </c>
      <c r="AJ23" t="str">
        <f>"0"&amp;DEC2HEX(A23*64+B23*16+C23*4+D23)&amp;"h"</f>
        <v>0FFh</v>
      </c>
      <c r="AK23" t="s">
        <v>0</v>
      </c>
      <c r="AN23" t="str">
        <f>"0"&amp;DEC2HEX(E23*64+F23*16+G23*4+H23)&amp;"h"</f>
        <v>0FFh</v>
      </c>
      <c r="AO23" t="s">
        <v>0</v>
      </c>
      <c r="AR23" t="str">
        <f>"0"&amp;DEC2HEX(I23*64+J23*16+K23*4+L23)&amp;"h"</f>
        <v>0F0h</v>
      </c>
      <c r="AS23" t="s">
        <v>0</v>
      </c>
      <c r="AV23" t="str">
        <f>"0"&amp;DEC2HEX(M23*64+N23*16+O23*4+P23)&amp;"h"</f>
        <v>03Fh</v>
      </c>
      <c r="AW23" t="str">
        <f>_xlfn.CONCAT(AI23:AV23)</f>
        <v>db 0FFh,0FFh,0F0h,03Fh</v>
      </c>
    </row>
    <row r="24" spans="1:49" x14ac:dyDescent="0.2">
      <c r="A24">
        <f t="shared" ref="A24:AH24" si="11">IF(A33&gt;0,0,3)</f>
        <v>3</v>
      </c>
      <c r="B24">
        <f t="shared" si="11"/>
        <v>0</v>
      </c>
      <c r="C24">
        <f t="shared" si="11"/>
        <v>0</v>
      </c>
      <c r="D24">
        <f t="shared" si="11"/>
        <v>0</v>
      </c>
      <c r="E24">
        <f t="shared" si="11"/>
        <v>0</v>
      </c>
      <c r="F24">
        <f t="shared" si="11"/>
        <v>0</v>
      </c>
      <c r="G24">
        <f t="shared" si="11"/>
        <v>0</v>
      </c>
      <c r="H24">
        <f t="shared" si="11"/>
        <v>0</v>
      </c>
      <c r="I24">
        <f t="shared" si="11"/>
        <v>3</v>
      </c>
      <c r="J24">
        <f t="shared" si="11"/>
        <v>3</v>
      </c>
      <c r="K24">
        <f t="shared" si="11"/>
        <v>3</v>
      </c>
      <c r="L24">
        <f t="shared" si="11"/>
        <v>3</v>
      </c>
      <c r="M24">
        <f t="shared" si="11"/>
        <v>0</v>
      </c>
      <c r="N24">
        <f t="shared" si="11"/>
        <v>0</v>
      </c>
      <c r="O24">
        <f t="shared" si="11"/>
        <v>0</v>
      </c>
      <c r="P24">
        <f t="shared" si="11"/>
        <v>3</v>
      </c>
      <c r="Q24">
        <f t="shared" si="11"/>
        <v>3</v>
      </c>
      <c r="R24">
        <f t="shared" si="11"/>
        <v>3</v>
      </c>
      <c r="S24">
        <f t="shared" si="11"/>
        <v>3</v>
      </c>
      <c r="T24">
        <f t="shared" si="11"/>
        <v>3</v>
      </c>
      <c r="U24">
        <f t="shared" si="11"/>
        <v>3</v>
      </c>
      <c r="V24">
        <f t="shared" si="11"/>
        <v>3</v>
      </c>
      <c r="W24">
        <f t="shared" si="11"/>
        <v>3</v>
      </c>
      <c r="X24">
        <f t="shared" si="11"/>
        <v>3</v>
      </c>
      <c r="Y24">
        <f t="shared" si="11"/>
        <v>3</v>
      </c>
      <c r="Z24">
        <f t="shared" si="11"/>
        <v>3</v>
      </c>
      <c r="AA24">
        <f t="shared" si="11"/>
        <v>3</v>
      </c>
      <c r="AB24">
        <f t="shared" si="11"/>
        <v>3</v>
      </c>
      <c r="AC24">
        <f t="shared" si="11"/>
        <v>3</v>
      </c>
      <c r="AD24">
        <f t="shared" si="11"/>
        <v>3</v>
      </c>
      <c r="AE24">
        <f t="shared" si="11"/>
        <v>3</v>
      </c>
      <c r="AF24">
        <f t="shared" si="11"/>
        <v>3</v>
      </c>
      <c r="AG24">
        <f t="shared" si="11"/>
        <v>3</v>
      </c>
      <c r="AH24">
        <f t="shared" si="11"/>
        <v>3</v>
      </c>
      <c r="AI24" t="s">
        <v>1</v>
      </c>
      <c r="AJ24" t="str">
        <f>"0"&amp;DEC2HEX(A24*64+B24*16+C24*4+D24)&amp;"h"</f>
        <v>0C0h</v>
      </c>
      <c r="AK24" t="s">
        <v>0</v>
      </c>
      <c r="AN24" t="str">
        <f>"0"&amp;DEC2HEX(E24*64+F24*16+G24*4+H24)&amp;"h"</f>
        <v>00h</v>
      </c>
      <c r="AO24" t="s">
        <v>0</v>
      </c>
      <c r="AR24" t="str">
        <f>"0"&amp;DEC2HEX(I24*64+J24*16+K24*4+L24)&amp;"h"</f>
        <v>0FFh</v>
      </c>
      <c r="AS24" t="s">
        <v>0</v>
      </c>
      <c r="AV24" t="str">
        <f>"0"&amp;DEC2HEX(M24*64+N24*16+O24*4+P24)&amp;"h"</f>
        <v>03h</v>
      </c>
      <c r="AW24" t="str">
        <f>_xlfn.CONCAT(AI24:AV24)</f>
        <v>db 0C0h,00h,0FFh,03h</v>
      </c>
    </row>
    <row r="25" spans="1:49" x14ac:dyDescent="0.2">
      <c r="A25">
        <f t="shared" ref="A25:AH25" si="12">IF(A34&gt;0,0,3)</f>
        <v>3</v>
      </c>
      <c r="B25">
        <f t="shared" si="12"/>
        <v>3</v>
      </c>
      <c r="C25">
        <f t="shared" si="12"/>
        <v>3</v>
      </c>
      <c r="D25">
        <f t="shared" si="12"/>
        <v>3</v>
      </c>
      <c r="E25">
        <f t="shared" si="12"/>
        <v>3</v>
      </c>
      <c r="F25">
        <f t="shared" si="12"/>
        <v>3</v>
      </c>
      <c r="G25">
        <f t="shared" si="12"/>
        <v>0</v>
      </c>
      <c r="H25">
        <f t="shared" si="12"/>
        <v>0</v>
      </c>
      <c r="I25">
        <f t="shared" si="12"/>
        <v>0</v>
      </c>
      <c r="J25">
        <f t="shared" si="12"/>
        <v>0</v>
      </c>
      <c r="K25">
        <f t="shared" si="12"/>
        <v>3</v>
      </c>
      <c r="L25">
        <f t="shared" si="12"/>
        <v>3</v>
      </c>
      <c r="M25">
        <f t="shared" si="12"/>
        <v>0</v>
      </c>
      <c r="N25">
        <f t="shared" si="12"/>
        <v>3</v>
      </c>
      <c r="O25">
        <f t="shared" si="12"/>
        <v>3</v>
      </c>
      <c r="P25">
        <f t="shared" si="12"/>
        <v>3</v>
      </c>
      <c r="Q25">
        <f t="shared" si="12"/>
        <v>3</v>
      </c>
      <c r="R25">
        <f t="shared" si="12"/>
        <v>3</v>
      </c>
      <c r="S25">
        <f t="shared" si="12"/>
        <v>3</v>
      </c>
      <c r="T25">
        <f t="shared" si="12"/>
        <v>3</v>
      </c>
      <c r="U25">
        <f t="shared" si="12"/>
        <v>3</v>
      </c>
      <c r="V25">
        <f t="shared" si="12"/>
        <v>3</v>
      </c>
      <c r="W25">
        <f t="shared" si="12"/>
        <v>3</v>
      </c>
      <c r="X25">
        <f t="shared" si="12"/>
        <v>3</v>
      </c>
      <c r="Y25">
        <f t="shared" si="12"/>
        <v>3</v>
      </c>
      <c r="Z25">
        <f t="shared" si="12"/>
        <v>3</v>
      </c>
      <c r="AA25">
        <f t="shared" si="12"/>
        <v>3</v>
      </c>
      <c r="AB25">
        <f t="shared" si="12"/>
        <v>3</v>
      </c>
      <c r="AC25">
        <f t="shared" si="12"/>
        <v>3</v>
      </c>
      <c r="AD25">
        <f t="shared" si="12"/>
        <v>3</v>
      </c>
      <c r="AE25">
        <f t="shared" si="12"/>
        <v>3</v>
      </c>
      <c r="AF25">
        <f t="shared" si="12"/>
        <v>3</v>
      </c>
      <c r="AG25">
        <f t="shared" si="12"/>
        <v>3</v>
      </c>
      <c r="AH25">
        <f t="shared" si="12"/>
        <v>3</v>
      </c>
      <c r="AI25" t="s">
        <v>1</v>
      </c>
      <c r="AJ25" t="str">
        <f>"0"&amp;DEC2HEX(A25*64+B25*16+C25*4+D25)&amp;"h"</f>
        <v>0FFh</v>
      </c>
      <c r="AK25" t="s">
        <v>0</v>
      </c>
      <c r="AN25" t="str">
        <f>"0"&amp;DEC2HEX(E25*64+F25*16+G25*4+H25)&amp;"h"</f>
        <v>0F0h</v>
      </c>
      <c r="AO25" t="s">
        <v>0</v>
      </c>
      <c r="AR25" t="str">
        <f>"0"&amp;DEC2HEX(I25*64+J25*16+K25*4+L25)&amp;"h"</f>
        <v>0Fh</v>
      </c>
      <c r="AS25" t="s">
        <v>0</v>
      </c>
      <c r="AV25" t="str">
        <f>"0"&amp;DEC2HEX(M25*64+N25*16+O25*4+P25)&amp;"h"</f>
        <v>03Fh</v>
      </c>
      <c r="AW25" t="str">
        <f>_xlfn.CONCAT(AI25:AV25)</f>
        <v>db 0FFh,0F0h,0Fh,03Fh</v>
      </c>
    </row>
    <row r="26" spans="1:49" x14ac:dyDescent="0.2">
      <c r="A26">
        <f t="shared" ref="A26:AH26" si="13">IF(A35&gt;0,0,3)</f>
        <v>3</v>
      </c>
      <c r="B26">
        <f t="shared" si="13"/>
        <v>3</v>
      </c>
      <c r="C26">
        <f t="shared" si="13"/>
        <v>3</v>
      </c>
      <c r="D26">
        <f t="shared" si="13"/>
        <v>3</v>
      </c>
      <c r="E26">
        <f t="shared" si="13"/>
        <v>3</v>
      </c>
      <c r="F26">
        <f t="shared" si="13"/>
        <v>0</v>
      </c>
      <c r="G26">
        <f t="shared" si="13"/>
        <v>0</v>
      </c>
      <c r="H26">
        <f t="shared" si="13"/>
        <v>0</v>
      </c>
      <c r="I26">
        <f t="shared" si="13"/>
        <v>0</v>
      </c>
      <c r="J26">
        <f t="shared" si="13"/>
        <v>0</v>
      </c>
      <c r="K26">
        <f t="shared" si="13"/>
        <v>0</v>
      </c>
      <c r="L26">
        <f t="shared" si="13"/>
        <v>0</v>
      </c>
      <c r="M26">
        <f t="shared" si="13"/>
        <v>3</v>
      </c>
      <c r="N26">
        <f t="shared" si="13"/>
        <v>3</v>
      </c>
      <c r="O26">
        <f t="shared" si="13"/>
        <v>3</v>
      </c>
      <c r="P26">
        <f t="shared" si="13"/>
        <v>3</v>
      </c>
      <c r="Q26">
        <f t="shared" si="13"/>
        <v>3</v>
      </c>
      <c r="R26">
        <f t="shared" si="13"/>
        <v>3</v>
      </c>
      <c r="S26">
        <f t="shared" si="13"/>
        <v>3</v>
      </c>
      <c r="T26">
        <f t="shared" si="13"/>
        <v>3</v>
      </c>
      <c r="U26">
        <f t="shared" si="13"/>
        <v>3</v>
      </c>
      <c r="V26">
        <f t="shared" si="13"/>
        <v>3</v>
      </c>
      <c r="W26">
        <f t="shared" si="13"/>
        <v>3</v>
      </c>
      <c r="X26">
        <f t="shared" si="13"/>
        <v>3</v>
      </c>
      <c r="Y26">
        <f t="shared" si="13"/>
        <v>3</v>
      </c>
      <c r="Z26">
        <f t="shared" si="13"/>
        <v>3</v>
      </c>
      <c r="AA26">
        <f t="shared" si="13"/>
        <v>3</v>
      </c>
      <c r="AB26">
        <f t="shared" si="13"/>
        <v>3</v>
      </c>
      <c r="AC26">
        <f t="shared" si="13"/>
        <v>3</v>
      </c>
      <c r="AD26">
        <f t="shared" si="13"/>
        <v>3</v>
      </c>
      <c r="AE26">
        <f t="shared" si="13"/>
        <v>3</v>
      </c>
      <c r="AF26">
        <f t="shared" si="13"/>
        <v>3</v>
      </c>
      <c r="AG26">
        <f t="shared" si="13"/>
        <v>3</v>
      </c>
      <c r="AH26">
        <f t="shared" si="13"/>
        <v>3</v>
      </c>
      <c r="AI26" t="s">
        <v>1</v>
      </c>
      <c r="AJ26" t="str">
        <f>"0"&amp;DEC2HEX(A26*64+B26*16+C26*4+D26)&amp;"h"</f>
        <v>0FFh</v>
      </c>
      <c r="AK26" t="s">
        <v>0</v>
      </c>
      <c r="AN26" t="str">
        <f>"0"&amp;DEC2HEX(E26*64+F26*16+G26*4+H26)&amp;"h"</f>
        <v>0C0h</v>
      </c>
      <c r="AO26" t="s">
        <v>0</v>
      </c>
      <c r="AR26" t="str">
        <f>"0"&amp;DEC2HEX(I26*64+J26*16+K26*4+L26)&amp;"h"</f>
        <v>00h</v>
      </c>
      <c r="AS26" t="s">
        <v>0</v>
      </c>
      <c r="AV26" t="str">
        <f>"0"&amp;DEC2HEX(M26*64+N26*16+O26*4+P26)&amp;"h"</f>
        <v>0FFh</v>
      </c>
      <c r="AW26" t="str">
        <f>_xlfn.CONCAT(AI26:AV26)</f>
        <v>db 0FFh,0C0h,00h,0FFh</v>
      </c>
    </row>
    <row r="27" spans="1:49" x14ac:dyDescent="0.2">
      <c r="A27">
        <f t="shared" ref="A27:AH27" si="14">IF(A36&gt;0,0,3)</f>
        <v>3</v>
      </c>
      <c r="B27">
        <f t="shared" si="14"/>
        <v>3</v>
      </c>
      <c r="C27">
        <f t="shared" si="14"/>
        <v>3</v>
      </c>
      <c r="D27">
        <f t="shared" si="14"/>
        <v>3</v>
      </c>
      <c r="E27">
        <f t="shared" si="14"/>
        <v>3</v>
      </c>
      <c r="F27">
        <f t="shared" si="14"/>
        <v>0</v>
      </c>
      <c r="G27">
        <f t="shared" si="14"/>
        <v>0</v>
      </c>
      <c r="H27">
        <f t="shared" si="14"/>
        <v>0</v>
      </c>
      <c r="I27">
        <f t="shared" si="14"/>
        <v>0</v>
      </c>
      <c r="J27">
        <f t="shared" si="14"/>
        <v>0</v>
      </c>
      <c r="K27">
        <f t="shared" si="14"/>
        <v>0</v>
      </c>
      <c r="L27">
        <f t="shared" si="14"/>
        <v>3</v>
      </c>
      <c r="M27">
        <f t="shared" si="14"/>
        <v>3</v>
      </c>
      <c r="N27">
        <f t="shared" si="14"/>
        <v>3</v>
      </c>
      <c r="O27">
        <f t="shared" si="14"/>
        <v>3</v>
      </c>
      <c r="P27">
        <f t="shared" si="14"/>
        <v>3</v>
      </c>
      <c r="Q27">
        <f t="shared" si="14"/>
        <v>3</v>
      </c>
      <c r="R27">
        <f t="shared" si="14"/>
        <v>3</v>
      </c>
      <c r="S27">
        <f t="shared" si="14"/>
        <v>3</v>
      </c>
      <c r="T27">
        <f t="shared" si="14"/>
        <v>3</v>
      </c>
      <c r="U27">
        <f t="shared" si="14"/>
        <v>3</v>
      </c>
      <c r="V27">
        <f t="shared" si="14"/>
        <v>3</v>
      </c>
      <c r="W27">
        <f t="shared" si="14"/>
        <v>3</v>
      </c>
      <c r="X27">
        <f t="shared" si="14"/>
        <v>3</v>
      </c>
      <c r="Y27">
        <f t="shared" si="14"/>
        <v>3</v>
      </c>
      <c r="Z27">
        <f t="shared" si="14"/>
        <v>3</v>
      </c>
      <c r="AA27">
        <f t="shared" si="14"/>
        <v>3</v>
      </c>
      <c r="AB27">
        <f t="shared" si="14"/>
        <v>3</v>
      </c>
      <c r="AC27">
        <f t="shared" si="14"/>
        <v>3</v>
      </c>
      <c r="AD27">
        <f t="shared" si="14"/>
        <v>3</v>
      </c>
      <c r="AE27">
        <f t="shared" si="14"/>
        <v>3</v>
      </c>
      <c r="AF27">
        <f t="shared" si="14"/>
        <v>3</v>
      </c>
      <c r="AG27">
        <f t="shared" si="14"/>
        <v>3</v>
      </c>
      <c r="AH27">
        <f t="shared" si="14"/>
        <v>3</v>
      </c>
      <c r="AI27" t="s">
        <v>1</v>
      </c>
      <c r="AJ27" t="str">
        <f>"0"&amp;DEC2HEX(A27*64+B27*16+C27*4+D27)&amp;"h"</f>
        <v>0FFh</v>
      </c>
      <c r="AK27" t="s">
        <v>0</v>
      </c>
      <c r="AN27" t="str">
        <f>"0"&amp;DEC2HEX(E27*64+F27*16+G27*4+H27)&amp;"h"</f>
        <v>0C0h</v>
      </c>
      <c r="AO27" t="s">
        <v>0</v>
      </c>
      <c r="AR27" t="str">
        <f>"0"&amp;DEC2HEX(I27*64+J27*16+K27*4+L27)&amp;"h"</f>
        <v>03h</v>
      </c>
      <c r="AS27" t="s">
        <v>0</v>
      </c>
      <c r="AV27" t="str">
        <f>"0"&amp;DEC2HEX(M27*64+N27*16+O27*4+P27)&amp;"h"</f>
        <v>0FFh</v>
      </c>
      <c r="AW27" t="str">
        <f>_xlfn.CONCAT(AI27:AV27)</f>
        <v>db 0FFh,0C0h,03h,0FFh</v>
      </c>
    </row>
    <row r="28" spans="1:49" x14ac:dyDescent="0.2">
      <c r="A28">
        <f t="shared" ref="A28:AH28" si="15">IF(A37&gt;0,0,3)</f>
        <v>3</v>
      </c>
      <c r="B28">
        <f t="shared" si="15"/>
        <v>3</v>
      </c>
      <c r="C28">
        <f t="shared" si="15"/>
        <v>3</v>
      </c>
      <c r="D28">
        <f t="shared" si="15"/>
        <v>3</v>
      </c>
      <c r="E28">
        <f t="shared" si="15"/>
        <v>3</v>
      </c>
      <c r="F28">
        <f t="shared" si="15"/>
        <v>3</v>
      </c>
      <c r="G28">
        <f t="shared" si="15"/>
        <v>3</v>
      </c>
      <c r="H28">
        <f t="shared" si="15"/>
        <v>3</v>
      </c>
      <c r="I28">
        <f t="shared" si="15"/>
        <v>3</v>
      </c>
      <c r="J28">
        <f t="shared" si="15"/>
        <v>3</v>
      </c>
      <c r="K28">
        <f t="shared" si="15"/>
        <v>3</v>
      </c>
      <c r="L28">
        <f t="shared" si="15"/>
        <v>3</v>
      </c>
      <c r="M28">
        <f t="shared" si="15"/>
        <v>3</v>
      </c>
      <c r="N28">
        <f t="shared" si="15"/>
        <v>3</v>
      </c>
      <c r="O28">
        <f t="shared" si="15"/>
        <v>3</v>
      </c>
      <c r="P28">
        <f t="shared" si="15"/>
        <v>3</v>
      </c>
      <c r="Q28">
        <f t="shared" si="15"/>
        <v>3</v>
      </c>
      <c r="R28">
        <f t="shared" si="15"/>
        <v>3</v>
      </c>
      <c r="S28">
        <f t="shared" si="15"/>
        <v>3</v>
      </c>
      <c r="T28">
        <f t="shared" si="15"/>
        <v>3</v>
      </c>
      <c r="U28">
        <f t="shared" si="15"/>
        <v>3</v>
      </c>
      <c r="V28">
        <f t="shared" si="15"/>
        <v>3</v>
      </c>
      <c r="W28">
        <f t="shared" si="15"/>
        <v>3</v>
      </c>
      <c r="X28">
        <f t="shared" si="15"/>
        <v>3</v>
      </c>
      <c r="Y28">
        <f t="shared" si="15"/>
        <v>3</v>
      </c>
      <c r="Z28">
        <f t="shared" si="15"/>
        <v>3</v>
      </c>
      <c r="AA28">
        <f t="shared" si="15"/>
        <v>3</v>
      </c>
      <c r="AB28">
        <f t="shared" si="15"/>
        <v>3</v>
      </c>
      <c r="AC28">
        <f t="shared" si="15"/>
        <v>3</v>
      </c>
      <c r="AD28">
        <f t="shared" si="15"/>
        <v>3</v>
      </c>
      <c r="AE28">
        <f t="shared" si="15"/>
        <v>3</v>
      </c>
      <c r="AF28">
        <f t="shared" si="15"/>
        <v>3</v>
      </c>
      <c r="AG28">
        <f t="shared" si="15"/>
        <v>3</v>
      </c>
      <c r="AH28">
        <f t="shared" si="15"/>
        <v>3</v>
      </c>
      <c r="AI28" t="s">
        <v>1</v>
      </c>
      <c r="AJ28" t="str">
        <f>"0"&amp;DEC2HEX(A28*64+B28*16+C28*4+D28)&amp;"h"</f>
        <v>0FFh</v>
      </c>
      <c r="AK28" t="s">
        <v>0</v>
      </c>
      <c r="AN28" t="str">
        <f>"0"&amp;DEC2HEX(E28*64+F28*16+G28*4+H28)&amp;"h"</f>
        <v>0FFh</v>
      </c>
      <c r="AO28" t="s">
        <v>0</v>
      </c>
      <c r="AR28" t="str">
        <f>"0"&amp;DEC2HEX(I28*64+J28*16+K28*4+L28)&amp;"h"</f>
        <v>0FFh</v>
      </c>
      <c r="AS28" t="s">
        <v>0</v>
      </c>
      <c r="AV28" t="str">
        <f>"0"&amp;DEC2HEX(M28*64+N28*16+O28*4+P28)&amp;"h"</f>
        <v>0FFh</v>
      </c>
      <c r="AW28" t="str">
        <f>_xlfn.CONCAT(AI28:AV28)</f>
        <v>db 0FFh,0FFh,0FFh,0FFh</v>
      </c>
    </row>
    <row r="29" spans="1:49" x14ac:dyDescent="0.2">
      <c r="A29">
        <v>3</v>
      </c>
      <c r="E29">
        <v>3</v>
      </c>
      <c r="I29">
        <v>3</v>
      </c>
      <c r="M29">
        <v>3</v>
      </c>
      <c r="Q29">
        <v>3</v>
      </c>
    </row>
    <row r="30" spans="1:49" x14ac:dyDescent="0.2">
      <c r="AI30" t="s">
        <v>1</v>
      </c>
      <c r="AJ30" t="str">
        <f>"0"&amp;DEC2HEX(A30*64+B30*16+C30*4+D30)&amp;"h"</f>
        <v>00h</v>
      </c>
      <c r="AK30" t="s">
        <v>0</v>
      </c>
      <c r="AN30" t="str">
        <f>"0"&amp;DEC2HEX(E30*64+F30*16+G30*4+H30)&amp;"h"</f>
        <v>00h</v>
      </c>
      <c r="AO30" t="s">
        <v>0</v>
      </c>
      <c r="AR30" t="str">
        <f>"0"&amp;DEC2HEX(I30*64+J30*16+K30*4+L30)&amp;"h"</f>
        <v>00h</v>
      </c>
      <c r="AS30" t="s">
        <v>0</v>
      </c>
      <c r="AV30" t="str">
        <f>"0"&amp;DEC2HEX(M30*64+N30*16+O30*4+P30)&amp;"h"</f>
        <v>00h</v>
      </c>
      <c r="AW30" t="str">
        <f>_xlfn.CONCAT(AI30:AV30)</f>
        <v>db 00h,00h,00h,00h</v>
      </c>
    </row>
    <row r="31" spans="1:49" x14ac:dyDescent="0.2">
      <c r="J31">
        <v>3</v>
      </c>
      <c r="K31">
        <v>3</v>
      </c>
      <c r="AI31" t="s">
        <v>1</v>
      </c>
      <c r="AJ31" t="str">
        <f>"0"&amp;DEC2HEX(A31*64+B31*16+C31*4+D31)&amp;"h"</f>
        <v>00h</v>
      </c>
      <c r="AK31" t="s">
        <v>0</v>
      </c>
      <c r="AN31" t="str">
        <f>"0"&amp;DEC2HEX(E31*64+F31*16+G31*4+H31)&amp;"h"</f>
        <v>00h</v>
      </c>
      <c r="AO31" t="s">
        <v>0</v>
      </c>
      <c r="AR31" t="str">
        <f>"0"&amp;DEC2HEX(I31*64+J31*16+K31*4+L31)&amp;"h"</f>
        <v>03Ch</v>
      </c>
      <c r="AS31" t="s">
        <v>0</v>
      </c>
      <c r="AV31" t="str">
        <f>"0"&amp;DEC2HEX(M31*64+N31*16+O31*4+P31)&amp;"h"</f>
        <v>00h</v>
      </c>
      <c r="AW31" t="str">
        <f>_xlfn.CONCAT(AI31:AV31)</f>
        <v>db 00h,00h,03Ch,00h</v>
      </c>
    </row>
    <row r="32" spans="1:49" x14ac:dyDescent="0.2">
      <c r="K32">
        <v>1</v>
      </c>
      <c r="L32">
        <v>1</v>
      </c>
      <c r="M32">
        <v>1</v>
      </c>
      <c r="AI32" t="s">
        <v>1</v>
      </c>
      <c r="AJ32" t="str">
        <f>"0"&amp;DEC2HEX(A32*64+B32*16+C32*4+D32)&amp;"h"</f>
        <v>00h</v>
      </c>
      <c r="AK32" t="s">
        <v>0</v>
      </c>
      <c r="AN32" t="str">
        <f>"0"&amp;DEC2HEX(E32*64+F32*16+G32*4+H32)&amp;"h"</f>
        <v>00h</v>
      </c>
      <c r="AO32" t="s">
        <v>0</v>
      </c>
      <c r="AR32" t="str">
        <f>"0"&amp;DEC2HEX(I32*64+J32*16+K32*4+L32)&amp;"h"</f>
        <v>05h</v>
      </c>
      <c r="AS32" t="s">
        <v>0</v>
      </c>
      <c r="AV32" t="str">
        <f>"0"&amp;DEC2HEX(M32*64+N32*16+O32*4+P32)&amp;"h"</f>
        <v>040h</v>
      </c>
      <c r="AW32" t="str">
        <f>_xlfn.CONCAT(AI32:AV32)</f>
        <v>db 00h,00h,05h,040h</v>
      </c>
    </row>
    <row r="33" spans="1:49" x14ac:dyDescent="0.2">
      <c r="B33">
        <v>3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M33">
        <v>2</v>
      </c>
      <c r="N33">
        <v>1</v>
      </c>
      <c r="O33">
        <v>1</v>
      </c>
      <c r="AI33" t="s">
        <v>1</v>
      </c>
      <c r="AJ33" t="str">
        <f>"0"&amp;DEC2HEX(A33*64+B33*16+C33*4+D33)&amp;"h"</f>
        <v>035h</v>
      </c>
      <c r="AK33" t="s">
        <v>0</v>
      </c>
      <c r="AN33" t="str">
        <f>"0"&amp;DEC2HEX(E33*64+F33*16+G33*4+H33)&amp;"h"</f>
        <v>055h</v>
      </c>
      <c r="AO33" t="s">
        <v>0</v>
      </c>
      <c r="AR33" t="str">
        <f>"0"&amp;DEC2HEX(I33*64+J33*16+K33*4+L33)&amp;"h"</f>
        <v>00h</v>
      </c>
      <c r="AS33" t="s">
        <v>0</v>
      </c>
      <c r="AV33" t="str">
        <f>"0"&amp;DEC2HEX(M33*64+N33*16+O33*4+P33)&amp;"h"</f>
        <v>094h</v>
      </c>
      <c r="AW33" t="str">
        <f>_xlfn.CONCAT(AI33:AV33)</f>
        <v>db 035h,055h,00h,094h</v>
      </c>
    </row>
    <row r="34" spans="1:49" x14ac:dyDescent="0.2">
      <c r="F34">
        <v>0</v>
      </c>
      <c r="G34">
        <v>1</v>
      </c>
      <c r="H34">
        <v>2</v>
      </c>
      <c r="I34">
        <v>2</v>
      </c>
      <c r="J34">
        <v>2</v>
      </c>
      <c r="M34">
        <v>1</v>
      </c>
      <c r="AI34" t="s">
        <v>1</v>
      </c>
      <c r="AJ34" t="str">
        <f>"0"&amp;DEC2HEX(A34*64+B34*16+C34*4+D34)&amp;"h"</f>
        <v>00h</v>
      </c>
      <c r="AK34" t="s">
        <v>0</v>
      </c>
      <c r="AN34" t="str">
        <f>"0"&amp;DEC2HEX(E34*64+F34*16+G34*4+H34)&amp;"h"</f>
        <v>06h</v>
      </c>
      <c r="AO34" t="s">
        <v>0</v>
      </c>
      <c r="AR34" t="str">
        <f>"0"&amp;DEC2HEX(I34*64+J34*16+K34*4+L34)&amp;"h"</f>
        <v>0A0h</v>
      </c>
      <c r="AS34" t="s">
        <v>0</v>
      </c>
      <c r="AV34" t="str">
        <f>"0"&amp;DEC2HEX(M34*64+N34*16+O34*4+P34)&amp;"h"</f>
        <v>040h</v>
      </c>
      <c r="AW34" t="str">
        <f>_xlfn.CONCAT(AI34:AV34)</f>
        <v>db 00h,06h,0A0h,040h</v>
      </c>
    </row>
    <row r="35" spans="1:49" x14ac:dyDescent="0.2">
      <c r="F35">
        <v>1</v>
      </c>
      <c r="G35">
        <v>2</v>
      </c>
      <c r="H35">
        <v>2</v>
      </c>
      <c r="I35">
        <v>2</v>
      </c>
      <c r="J35">
        <v>2</v>
      </c>
      <c r="K35">
        <v>2</v>
      </c>
      <c r="L35">
        <v>1</v>
      </c>
      <c r="AI35" t="s">
        <v>1</v>
      </c>
      <c r="AJ35" t="str">
        <f>"0"&amp;DEC2HEX(A35*64+B35*16+C35*4+D35)&amp;"h"</f>
        <v>00h</v>
      </c>
      <c r="AK35" t="s">
        <v>0</v>
      </c>
      <c r="AN35" t="str">
        <f>"0"&amp;DEC2HEX(E35*64+F35*16+G35*4+H35)&amp;"h"</f>
        <v>01Ah</v>
      </c>
      <c r="AO35" t="s">
        <v>0</v>
      </c>
      <c r="AR35" t="str">
        <f>"0"&amp;DEC2HEX(I35*64+J35*16+K35*4+L35)&amp;"h"</f>
        <v>0A9h</v>
      </c>
      <c r="AS35" t="s">
        <v>0</v>
      </c>
      <c r="AV35" t="str">
        <f>"0"&amp;DEC2HEX(M35*64+N35*16+O35*4+P35)&amp;"h"</f>
        <v>00h</v>
      </c>
      <c r="AW35" t="str">
        <f>_xlfn.CONCAT(AI35:AV35)</f>
        <v>db 00h,01Ah,0A9h,00h</v>
      </c>
    </row>
    <row r="36" spans="1:49" x14ac:dyDescent="0.2"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AI36" t="s">
        <v>1</v>
      </c>
      <c r="AJ36" t="str">
        <f>"0"&amp;DEC2HEX(A36*64+B36*16+C36*4+D36)&amp;"h"</f>
        <v>00h</v>
      </c>
      <c r="AK36" t="s">
        <v>0</v>
      </c>
      <c r="AN36" t="str">
        <f>"0"&amp;DEC2HEX(E36*64+F36*16+G36*4+H36)&amp;"h"</f>
        <v>015h</v>
      </c>
      <c r="AO36" t="s">
        <v>0</v>
      </c>
      <c r="AR36" t="str">
        <f>"0"&amp;DEC2HEX(I36*64+J36*16+K36*4+L36)&amp;"h"</f>
        <v>054h</v>
      </c>
      <c r="AS36" t="s">
        <v>0</v>
      </c>
      <c r="AV36" t="str">
        <f>"0"&amp;DEC2HEX(M36*64+N36*16+O36*4+P36)&amp;"h"</f>
        <v>00h</v>
      </c>
      <c r="AW36" t="str">
        <f>_xlfn.CONCAT(AI36:AV36)</f>
        <v>db 00h,015h,054h,00h</v>
      </c>
    </row>
    <row r="37" spans="1:49" x14ac:dyDescent="0.2">
      <c r="AI37" t="s">
        <v>1</v>
      </c>
      <c r="AJ37" t="str">
        <f>"0"&amp;DEC2HEX(A37*64+B37*16+C37*4+D37)&amp;"h"</f>
        <v>00h</v>
      </c>
      <c r="AK37" t="s">
        <v>0</v>
      </c>
      <c r="AN37" t="str">
        <f>"0"&amp;DEC2HEX(E37*64+F37*16+G37*4+H37)&amp;"h"</f>
        <v>00h</v>
      </c>
      <c r="AO37" t="s">
        <v>0</v>
      </c>
      <c r="AR37" t="str">
        <f>"0"&amp;DEC2HEX(I37*64+J37*16+K37*4+L37)&amp;"h"</f>
        <v>00h</v>
      </c>
      <c r="AS37" t="s">
        <v>0</v>
      </c>
      <c r="AV37" t="str">
        <f>"0"&amp;DEC2HEX(M37*64+N37*16+O37*4+P37)&amp;"h"</f>
        <v>00h</v>
      </c>
      <c r="AW37" t="str">
        <f>_xlfn.CONCAT(AI37:AV37)</f>
        <v>db 00h,00h,00h,00h</v>
      </c>
    </row>
    <row r="38" spans="1:49" x14ac:dyDescent="0.2">
      <c r="AI38" s="1" t="s">
        <v>9</v>
      </c>
    </row>
    <row r="39" spans="1:49" x14ac:dyDescent="0.2">
      <c r="A39">
        <f>IF(A48&gt;0,0,3)</f>
        <v>3</v>
      </c>
      <c r="B39">
        <f t="shared" ref="B39:AH39" si="16">IF(B48&gt;0,0,3)</f>
        <v>3</v>
      </c>
      <c r="C39">
        <f t="shared" si="16"/>
        <v>3</v>
      </c>
      <c r="D39">
        <f t="shared" si="16"/>
        <v>0</v>
      </c>
      <c r="E39">
        <f t="shared" si="16"/>
        <v>0</v>
      </c>
      <c r="F39">
        <f t="shared" si="16"/>
        <v>0</v>
      </c>
      <c r="G39">
        <f t="shared" si="16"/>
        <v>3</v>
      </c>
      <c r="H39">
        <f t="shared" si="16"/>
        <v>3</v>
      </c>
      <c r="I39">
        <f t="shared" si="16"/>
        <v>3</v>
      </c>
      <c r="J39">
        <f t="shared" si="16"/>
        <v>3</v>
      </c>
      <c r="K39">
        <f t="shared" si="16"/>
        <v>3</v>
      </c>
      <c r="L39">
        <f t="shared" si="16"/>
        <v>3</v>
      </c>
      <c r="M39">
        <f t="shared" si="16"/>
        <v>3</v>
      </c>
      <c r="N39">
        <f t="shared" si="16"/>
        <v>3</v>
      </c>
      <c r="O39">
        <f t="shared" si="16"/>
        <v>3</v>
      </c>
      <c r="P39">
        <f t="shared" si="16"/>
        <v>3</v>
      </c>
      <c r="Q39">
        <f t="shared" si="16"/>
        <v>3</v>
      </c>
      <c r="R39">
        <f t="shared" si="16"/>
        <v>3</v>
      </c>
      <c r="S39">
        <f t="shared" si="16"/>
        <v>3</v>
      </c>
      <c r="T39">
        <f t="shared" si="16"/>
        <v>3</v>
      </c>
      <c r="U39">
        <f t="shared" si="16"/>
        <v>3</v>
      </c>
      <c r="V39">
        <f t="shared" si="16"/>
        <v>3</v>
      </c>
      <c r="W39">
        <f t="shared" si="16"/>
        <v>3</v>
      </c>
      <c r="X39">
        <f t="shared" si="16"/>
        <v>3</v>
      </c>
      <c r="Y39">
        <f t="shared" si="16"/>
        <v>3</v>
      </c>
      <c r="Z39">
        <f t="shared" si="16"/>
        <v>3</v>
      </c>
      <c r="AA39">
        <f t="shared" si="16"/>
        <v>3</v>
      </c>
      <c r="AB39">
        <f t="shared" si="16"/>
        <v>3</v>
      </c>
      <c r="AC39">
        <f t="shared" si="16"/>
        <v>3</v>
      </c>
      <c r="AD39">
        <f t="shared" si="16"/>
        <v>3</v>
      </c>
      <c r="AE39">
        <f t="shared" si="16"/>
        <v>3</v>
      </c>
      <c r="AF39">
        <f t="shared" si="16"/>
        <v>3</v>
      </c>
      <c r="AG39">
        <f t="shared" si="16"/>
        <v>3</v>
      </c>
      <c r="AH39">
        <f t="shared" si="16"/>
        <v>3</v>
      </c>
      <c r="AI39" t="s">
        <v>1</v>
      </c>
      <c r="AJ39" t="str">
        <f>"0"&amp;DEC2HEX(A39*64+B39*16+C39*4+D39)&amp;"h"</f>
        <v>0FCh</v>
      </c>
      <c r="AK39" t="s">
        <v>0</v>
      </c>
      <c r="AN39" t="str">
        <f>"0"&amp;DEC2HEX(E39*64+F39*16+G39*4+H39)&amp;"h"</f>
        <v>0Fh</v>
      </c>
      <c r="AW39" t="str">
        <f>_xlfn.CONCAT(AI39:AV39)</f>
        <v>db 0FCh,0Fh</v>
      </c>
    </row>
    <row r="40" spans="1:49" x14ac:dyDescent="0.2">
      <c r="A40">
        <f t="shared" ref="A40:AH40" si="17">IF(A49&gt;0,0,3)</f>
        <v>3</v>
      </c>
      <c r="B40">
        <f t="shared" si="17"/>
        <v>3</v>
      </c>
      <c r="C40">
        <f t="shared" si="17"/>
        <v>0</v>
      </c>
      <c r="D40">
        <f t="shared" si="17"/>
        <v>3</v>
      </c>
      <c r="E40">
        <f t="shared" si="17"/>
        <v>0</v>
      </c>
      <c r="F40">
        <f t="shared" si="17"/>
        <v>3</v>
      </c>
      <c r="G40">
        <f t="shared" si="17"/>
        <v>0</v>
      </c>
      <c r="H40">
        <f t="shared" si="17"/>
        <v>3</v>
      </c>
      <c r="I40">
        <f t="shared" si="17"/>
        <v>3</v>
      </c>
      <c r="J40">
        <f t="shared" si="17"/>
        <v>3</v>
      </c>
      <c r="K40">
        <f t="shared" si="17"/>
        <v>3</v>
      </c>
      <c r="L40">
        <f t="shared" si="17"/>
        <v>3</v>
      </c>
      <c r="M40">
        <f t="shared" si="17"/>
        <v>3</v>
      </c>
      <c r="N40">
        <f t="shared" si="17"/>
        <v>3</v>
      </c>
      <c r="O40">
        <f t="shared" si="17"/>
        <v>3</v>
      </c>
      <c r="P40">
        <f t="shared" si="17"/>
        <v>3</v>
      </c>
      <c r="Q40">
        <f t="shared" si="17"/>
        <v>3</v>
      </c>
      <c r="R40">
        <f t="shared" si="17"/>
        <v>3</v>
      </c>
      <c r="S40">
        <f t="shared" si="17"/>
        <v>3</v>
      </c>
      <c r="T40">
        <f t="shared" si="17"/>
        <v>3</v>
      </c>
      <c r="U40">
        <f t="shared" si="17"/>
        <v>3</v>
      </c>
      <c r="V40">
        <f t="shared" si="17"/>
        <v>3</v>
      </c>
      <c r="W40">
        <f t="shared" si="17"/>
        <v>3</v>
      </c>
      <c r="X40">
        <f t="shared" si="17"/>
        <v>3</v>
      </c>
      <c r="Y40">
        <f t="shared" si="17"/>
        <v>3</v>
      </c>
      <c r="Z40">
        <f t="shared" si="17"/>
        <v>3</v>
      </c>
      <c r="AA40">
        <f t="shared" si="17"/>
        <v>3</v>
      </c>
      <c r="AB40">
        <f t="shared" si="17"/>
        <v>3</v>
      </c>
      <c r="AC40">
        <f t="shared" si="17"/>
        <v>3</v>
      </c>
      <c r="AD40">
        <f t="shared" si="17"/>
        <v>3</v>
      </c>
      <c r="AE40">
        <f t="shared" si="17"/>
        <v>3</v>
      </c>
      <c r="AF40">
        <f t="shared" si="17"/>
        <v>3</v>
      </c>
      <c r="AG40">
        <f t="shared" si="17"/>
        <v>3</v>
      </c>
      <c r="AH40">
        <f t="shared" si="17"/>
        <v>3</v>
      </c>
      <c r="AI40" t="s">
        <v>1</v>
      </c>
      <c r="AJ40" t="str">
        <f>"0"&amp;DEC2HEX(A40*64+B40*16+C40*4+D40)&amp;"h"</f>
        <v>0F3h</v>
      </c>
      <c r="AK40" t="s">
        <v>0</v>
      </c>
      <c r="AN40" t="str">
        <f>"0"&amp;DEC2HEX(E40*64+F40*16+G40*4+H40)&amp;"h"</f>
        <v>033h</v>
      </c>
      <c r="AW40" t="str">
        <f>_xlfn.CONCAT(AI40:AV40)</f>
        <v>db 0F3h,033h</v>
      </c>
    </row>
    <row r="41" spans="1:49" x14ac:dyDescent="0.2">
      <c r="A41">
        <f t="shared" ref="A41:AH41" si="18">IF(A50&gt;0,0,3)</f>
        <v>3</v>
      </c>
      <c r="B41">
        <f t="shared" si="18"/>
        <v>0</v>
      </c>
      <c r="C41">
        <f t="shared" si="18"/>
        <v>3</v>
      </c>
      <c r="D41">
        <f t="shared" si="18"/>
        <v>0</v>
      </c>
      <c r="E41">
        <f t="shared" si="18"/>
        <v>3</v>
      </c>
      <c r="F41">
        <f t="shared" si="18"/>
        <v>0</v>
      </c>
      <c r="G41">
        <f t="shared" si="18"/>
        <v>3</v>
      </c>
      <c r="H41">
        <f t="shared" si="18"/>
        <v>0</v>
      </c>
      <c r="I41">
        <f t="shared" si="18"/>
        <v>3</v>
      </c>
      <c r="J41">
        <f t="shared" si="18"/>
        <v>3</v>
      </c>
      <c r="K41">
        <f t="shared" si="18"/>
        <v>3</v>
      </c>
      <c r="L41">
        <f t="shared" si="18"/>
        <v>3</v>
      </c>
      <c r="M41">
        <f t="shared" si="18"/>
        <v>3</v>
      </c>
      <c r="N41">
        <f t="shared" si="18"/>
        <v>3</v>
      </c>
      <c r="O41">
        <f t="shared" si="18"/>
        <v>3</v>
      </c>
      <c r="P41">
        <f t="shared" si="18"/>
        <v>3</v>
      </c>
      <c r="Q41">
        <f t="shared" si="18"/>
        <v>3</v>
      </c>
      <c r="R41">
        <f t="shared" si="18"/>
        <v>3</v>
      </c>
      <c r="S41">
        <f t="shared" si="18"/>
        <v>3</v>
      </c>
      <c r="T41">
        <f t="shared" si="18"/>
        <v>3</v>
      </c>
      <c r="U41">
        <f t="shared" si="18"/>
        <v>3</v>
      </c>
      <c r="V41">
        <f t="shared" si="18"/>
        <v>3</v>
      </c>
      <c r="W41">
        <f t="shared" si="18"/>
        <v>3</v>
      </c>
      <c r="X41">
        <f t="shared" si="18"/>
        <v>3</v>
      </c>
      <c r="Y41">
        <f t="shared" si="18"/>
        <v>3</v>
      </c>
      <c r="Z41">
        <f t="shared" si="18"/>
        <v>3</v>
      </c>
      <c r="AA41">
        <f t="shared" si="18"/>
        <v>3</v>
      </c>
      <c r="AB41">
        <f t="shared" si="18"/>
        <v>3</v>
      </c>
      <c r="AC41">
        <f t="shared" si="18"/>
        <v>3</v>
      </c>
      <c r="AD41">
        <f t="shared" si="18"/>
        <v>3</v>
      </c>
      <c r="AE41">
        <f t="shared" si="18"/>
        <v>3</v>
      </c>
      <c r="AF41">
        <f t="shared" si="18"/>
        <v>3</v>
      </c>
      <c r="AG41">
        <f t="shared" si="18"/>
        <v>3</v>
      </c>
      <c r="AH41">
        <f t="shared" si="18"/>
        <v>3</v>
      </c>
      <c r="AI41" t="s">
        <v>1</v>
      </c>
      <c r="AJ41" t="str">
        <f>"0"&amp;DEC2HEX(A41*64+B41*16+C41*4+D41)&amp;"h"</f>
        <v>0CCh</v>
      </c>
      <c r="AK41" t="s">
        <v>0</v>
      </c>
      <c r="AN41" t="str">
        <f>"0"&amp;DEC2HEX(E41*64+F41*16+G41*4+H41)&amp;"h"</f>
        <v>0CCh</v>
      </c>
      <c r="AW41" t="str">
        <f>_xlfn.CONCAT(AI41:AV41)</f>
        <v>db 0CCh,0CCh</v>
      </c>
    </row>
    <row r="42" spans="1:49" x14ac:dyDescent="0.2">
      <c r="A42">
        <f t="shared" ref="A42:AH42" si="19">IF(A51&gt;0,0,3)</f>
        <v>0</v>
      </c>
      <c r="B42">
        <f t="shared" si="19"/>
        <v>0</v>
      </c>
      <c r="C42">
        <f t="shared" si="19"/>
        <v>3</v>
      </c>
      <c r="D42">
        <f t="shared" si="19"/>
        <v>0</v>
      </c>
      <c r="E42">
        <f t="shared" si="19"/>
        <v>3</v>
      </c>
      <c r="F42">
        <f t="shared" si="19"/>
        <v>3</v>
      </c>
      <c r="G42">
        <f t="shared" si="19"/>
        <v>0</v>
      </c>
      <c r="H42">
        <f t="shared" si="19"/>
        <v>3</v>
      </c>
      <c r="I42">
        <f t="shared" si="19"/>
        <v>3</v>
      </c>
      <c r="J42">
        <f t="shared" si="19"/>
        <v>3</v>
      </c>
      <c r="K42">
        <f t="shared" si="19"/>
        <v>3</v>
      </c>
      <c r="L42">
        <f t="shared" si="19"/>
        <v>3</v>
      </c>
      <c r="M42">
        <f t="shared" si="19"/>
        <v>3</v>
      </c>
      <c r="N42">
        <f t="shared" si="19"/>
        <v>3</v>
      </c>
      <c r="O42">
        <f t="shared" si="19"/>
        <v>3</v>
      </c>
      <c r="P42">
        <f t="shared" si="19"/>
        <v>3</v>
      </c>
      <c r="Q42">
        <f t="shared" si="19"/>
        <v>3</v>
      </c>
      <c r="R42">
        <f t="shared" si="19"/>
        <v>3</v>
      </c>
      <c r="S42">
        <f t="shared" si="19"/>
        <v>3</v>
      </c>
      <c r="T42">
        <f t="shared" si="19"/>
        <v>3</v>
      </c>
      <c r="U42">
        <f t="shared" si="19"/>
        <v>3</v>
      </c>
      <c r="V42">
        <f t="shared" si="19"/>
        <v>3</v>
      </c>
      <c r="W42">
        <f t="shared" si="19"/>
        <v>3</v>
      </c>
      <c r="X42">
        <f t="shared" si="19"/>
        <v>3</v>
      </c>
      <c r="Y42">
        <f t="shared" si="19"/>
        <v>3</v>
      </c>
      <c r="Z42">
        <f t="shared" si="19"/>
        <v>3</v>
      </c>
      <c r="AA42">
        <f t="shared" si="19"/>
        <v>3</v>
      </c>
      <c r="AB42">
        <f t="shared" si="19"/>
        <v>3</v>
      </c>
      <c r="AC42">
        <f t="shared" si="19"/>
        <v>3</v>
      </c>
      <c r="AD42">
        <f t="shared" si="19"/>
        <v>3</v>
      </c>
      <c r="AE42">
        <f t="shared" si="19"/>
        <v>3</v>
      </c>
      <c r="AF42">
        <f t="shared" si="19"/>
        <v>3</v>
      </c>
      <c r="AG42">
        <f t="shared" si="19"/>
        <v>3</v>
      </c>
      <c r="AH42">
        <f t="shared" si="19"/>
        <v>3</v>
      </c>
      <c r="AI42" t="s">
        <v>1</v>
      </c>
      <c r="AJ42" t="str">
        <f>"0"&amp;DEC2HEX(A42*64+B42*16+C42*4+D42)&amp;"h"</f>
        <v>0Ch</v>
      </c>
      <c r="AK42" t="s">
        <v>0</v>
      </c>
      <c r="AN42" t="str">
        <f>"0"&amp;DEC2HEX(E42*64+F42*16+G42*4+H42)&amp;"h"</f>
        <v>0F3h</v>
      </c>
      <c r="AW42" t="str">
        <f>_xlfn.CONCAT(AI42:AV42)</f>
        <v>db 0Ch,0F3h</v>
      </c>
    </row>
    <row r="43" spans="1:49" x14ac:dyDescent="0.2">
      <c r="A43">
        <f t="shared" ref="A43:AH43" si="20">IF(A52&gt;0,0,3)</f>
        <v>0</v>
      </c>
      <c r="B43">
        <f t="shared" si="20"/>
        <v>3</v>
      </c>
      <c r="C43">
        <f t="shared" si="20"/>
        <v>0</v>
      </c>
      <c r="D43">
        <f t="shared" si="20"/>
        <v>3</v>
      </c>
      <c r="E43">
        <f t="shared" si="20"/>
        <v>3</v>
      </c>
      <c r="F43">
        <f t="shared" si="20"/>
        <v>0</v>
      </c>
      <c r="G43">
        <f t="shared" si="20"/>
        <v>3</v>
      </c>
      <c r="H43">
        <f t="shared" si="20"/>
        <v>0</v>
      </c>
      <c r="I43">
        <f t="shared" si="20"/>
        <v>3</v>
      </c>
      <c r="J43">
        <f t="shared" si="20"/>
        <v>3</v>
      </c>
      <c r="K43">
        <f t="shared" si="20"/>
        <v>3</v>
      </c>
      <c r="L43">
        <f t="shared" si="20"/>
        <v>3</v>
      </c>
      <c r="M43">
        <f t="shared" si="20"/>
        <v>3</v>
      </c>
      <c r="N43">
        <f t="shared" si="20"/>
        <v>3</v>
      </c>
      <c r="O43">
        <f t="shared" si="20"/>
        <v>3</v>
      </c>
      <c r="P43">
        <f t="shared" si="20"/>
        <v>3</v>
      </c>
      <c r="Q43">
        <f t="shared" si="20"/>
        <v>3</v>
      </c>
      <c r="R43">
        <f t="shared" si="20"/>
        <v>3</v>
      </c>
      <c r="S43">
        <f t="shared" si="20"/>
        <v>3</v>
      </c>
      <c r="T43">
        <f t="shared" si="20"/>
        <v>3</v>
      </c>
      <c r="U43">
        <f t="shared" si="20"/>
        <v>3</v>
      </c>
      <c r="V43">
        <f t="shared" si="20"/>
        <v>3</v>
      </c>
      <c r="W43">
        <f t="shared" si="20"/>
        <v>3</v>
      </c>
      <c r="X43">
        <f t="shared" si="20"/>
        <v>3</v>
      </c>
      <c r="Y43">
        <f t="shared" si="20"/>
        <v>3</v>
      </c>
      <c r="Z43">
        <f t="shared" si="20"/>
        <v>3</v>
      </c>
      <c r="AA43">
        <f t="shared" si="20"/>
        <v>3</v>
      </c>
      <c r="AB43">
        <f t="shared" si="20"/>
        <v>3</v>
      </c>
      <c r="AC43">
        <f t="shared" si="20"/>
        <v>3</v>
      </c>
      <c r="AD43">
        <f t="shared" si="20"/>
        <v>3</v>
      </c>
      <c r="AE43">
        <f t="shared" si="20"/>
        <v>3</v>
      </c>
      <c r="AF43">
        <f t="shared" si="20"/>
        <v>3</v>
      </c>
      <c r="AG43">
        <f t="shared" si="20"/>
        <v>3</v>
      </c>
      <c r="AH43">
        <f t="shared" si="20"/>
        <v>3</v>
      </c>
      <c r="AI43" t="s">
        <v>1</v>
      </c>
      <c r="AJ43" t="str">
        <f>"0"&amp;DEC2HEX(A43*64+B43*16+C43*4+D43)&amp;"h"</f>
        <v>033h</v>
      </c>
      <c r="AK43" t="s">
        <v>0</v>
      </c>
      <c r="AN43" t="str">
        <f>"0"&amp;DEC2HEX(E43*64+F43*16+G43*4+H43)&amp;"h"</f>
        <v>0CCh</v>
      </c>
      <c r="AW43" t="str">
        <f>_xlfn.CONCAT(AI43:AV43)</f>
        <v>db 033h,0CCh</v>
      </c>
    </row>
    <row r="44" spans="1:49" x14ac:dyDescent="0.2">
      <c r="A44">
        <f t="shared" ref="A44:AH44" si="21">IF(A53&gt;0,0,3)</f>
        <v>3</v>
      </c>
      <c r="B44">
        <f t="shared" si="21"/>
        <v>0</v>
      </c>
      <c r="C44">
        <f t="shared" si="21"/>
        <v>3</v>
      </c>
      <c r="D44">
        <f t="shared" si="21"/>
        <v>3</v>
      </c>
      <c r="E44">
        <f t="shared" si="21"/>
        <v>0</v>
      </c>
      <c r="F44">
        <f t="shared" si="21"/>
        <v>3</v>
      </c>
      <c r="G44">
        <f t="shared" si="21"/>
        <v>3</v>
      </c>
      <c r="H44">
        <f t="shared" si="21"/>
        <v>0</v>
      </c>
      <c r="I44">
        <f t="shared" si="21"/>
        <v>3</v>
      </c>
      <c r="J44">
        <f t="shared" si="21"/>
        <v>3</v>
      </c>
      <c r="K44">
        <f t="shared" si="21"/>
        <v>3</v>
      </c>
      <c r="L44">
        <f t="shared" si="21"/>
        <v>3</v>
      </c>
      <c r="M44">
        <f t="shared" si="21"/>
        <v>3</v>
      </c>
      <c r="N44">
        <f t="shared" si="21"/>
        <v>3</v>
      </c>
      <c r="O44">
        <f t="shared" si="21"/>
        <v>3</v>
      </c>
      <c r="P44">
        <f t="shared" si="21"/>
        <v>3</v>
      </c>
      <c r="Q44">
        <f t="shared" si="21"/>
        <v>3</v>
      </c>
      <c r="R44">
        <f t="shared" si="21"/>
        <v>3</v>
      </c>
      <c r="S44">
        <f t="shared" si="21"/>
        <v>3</v>
      </c>
      <c r="T44">
        <f t="shared" si="21"/>
        <v>3</v>
      </c>
      <c r="U44">
        <f t="shared" si="21"/>
        <v>3</v>
      </c>
      <c r="V44">
        <f t="shared" si="21"/>
        <v>3</v>
      </c>
      <c r="W44">
        <f t="shared" si="21"/>
        <v>3</v>
      </c>
      <c r="X44">
        <f t="shared" si="21"/>
        <v>3</v>
      </c>
      <c r="Y44">
        <f t="shared" si="21"/>
        <v>3</v>
      </c>
      <c r="Z44">
        <f t="shared" si="21"/>
        <v>3</v>
      </c>
      <c r="AA44">
        <f t="shared" si="21"/>
        <v>3</v>
      </c>
      <c r="AB44">
        <f t="shared" si="21"/>
        <v>3</v>
      </c>
      <c r="AC44">
        <f t="shared" si="21"/>
        <v>3</v>
      </c>
      <c r="AD44">
        <f t="shared" si="21"/>
        <v>3</v>
      </c>
      <c r="AE44">
        <f t="shared" si="21"/>
        <v>3</v>
      </c>
      <c r="AF44">
        <f t="shared" si="21"/>
        <v>3</v>
      </c>
      <c r="AG44">
        <f t="shared" si="21"/>
        <v>3</v>
      </c>
      <c r="AH44">
        <f t="shared" si="21"/>
        <v>3</v>
      </c>
      <c r="AI44" t="s">
        <v>1</v>
      </c>
      <c r="AJ44" t="str">
        <f>"0"&amp;DEC2HEX(A44*64+B44*16+C44*4+D44)&amp;"h"</f>
        <v>0CFh</v>
      </c>
      <c r="AK44" t="s">
        <v>0</v>
      </c>
      <c r="AN44" t="str">
        <f>"0"&amp;DEC2HEX(E44*64+F44*16+G44*4+H44)&amp;"h"</f>
        <v>03Ch</v>
      </c>
      <c r="AW44" t="str">
        <f>_xlfn.CONCAT(AI44:AV44)</f>
        <v>db 0CFh,03Ch</v>
      </c>
    </row>
    <row r="45" spans="1:49" x14ac:dyDescent="0.2">
      <c r="A45">
        <f t="shared" ref="A45:AH45" si="22">IF(A54&gt;0,0,3)</f>
        <v>3</v>
      </c>
      <c r="B45">
        <f t="shared" si="22"/>
        <v>3</v>
      </c>
      <c r="C45">
        <f t="shared" si="22"/>
        <v>0</v>
      </c>
      <c r="D45">
        <f t="shared" si="22"/>
        <v>3</v>
      </c>
      <c r="E45">
        <f t="shared" si="22"/>
        <v>3</v>
      </c>
      <c r="F45">
        <f t="shared" si="22"/>
        <v>0</v>
      </c>
      <c r="G45">
        <f t="shared" si="22"/>
        <v>0</v>
      </c>
      <c r="H45">
        <f t="shared" si="22"/>
        <v>3</v>
      </c>
      <c r="I45">
        <f t="shared" si="22"/>
        <v>3</v>
      </c>
      <c r="J45">
        <f t="shared" si="22"/>
        <v>3</v>
      </c>
      <c r="K45">
        <f t="shared" si="22"/>
        <v>3</v>
      </c>
      <c r="L45">
        <f t="shared" si="22"/>
        <v>3</v>
      </c>
      <c r="M45">
        <f t="shared" si="22"/>
        <v>3</v>
      </c>
      <c r="N45">
        <f t="shared" si="22"/>
        <v>3</v>
      </c>
      <c r="O45">
        <f t="shared" si="22"/>
        <v>3</v>
      </c>
      <c r="P45">
        <f t="shared" si="22"/>
        <v>3</v>
      </c>
      <c r="Q45">
        <f t="shared" si="22"/>
        <v>3</v>
      </c>
      <c r="R45">
        <f t="shared" si="22"/>
        <v>3</v>
      </c>
      <c r="S45">
        <f t="shared" si="22"/>
        <v>3</v>
      </c>
      <c r="T45">
        <f t="shared" si="22"/>
        <v>3</v>
      </c>
      <c r="U45">
        <f t="shared" si="22"/>
        <v>3</v>
      </c>
      <c r="V45">
        <f t="shared" si="22"/>
        <v>3</v>
      </c>
      <c r="W45">
        <f t="shared" si="22"/>
        <v>3</v>
      </c>
      <c r="X45">
        <f t="shared" si="22"/>
        <v>3</v>
      </c>
      <c r="Y45">
        <f t="shared" si="22"/>
        <v>3</v>
      </c>
      <c r="Z45">
        <f t="shared" si="22"/>
        <v>3</v>
      </c>
      <c r="AA45">
        <f t="shared" si="22"/>
        <v>3</v>
      </c>
      <c r="AB45">
        <f t="shared" si="22"/>
        <v>3</v>
      </c>
      <c r="AC45">
        <f t="shared" si="22"/>
        <v>3</v>
      </c>
      <c r="AD45">
        <f t="shared" si="22"/>
        <v>3</v>
      </c>
      <c r="AE45">
        <f t="shared" si="22"/>
        <v>3</v>
      </c>
      <c r="AF45">
        <f t="shared" si="22"/>
        <v>3</v>
      </c>
      <c r="AG45">
        <f t="shared" si="22"/>
        <v>3</v>
      </c>
      <c r="AH45">
        <f t="shared" si="22"/>
        <v>3</v>
      </c>
      <c r="AI45" t="s">
        <v>1</v>
      </c>
      <c r="AJ45" t="str">
        <f>"0"&amp;DEC2HEX(A45*64+B45*16+C45*4+D45)&amp;"h"</f>
        <v>0F3h</v>
      </c>
      <c r="AK45" t="s">
        <v>0</v>
      </c>
      <c r="AN45" t="str">
        <f>"0"&amp;DEC2HEX(E45*64+F45*16+G45*4+H45)&amp;"h"</f>
        <v>0C3h</v>
      </c>
      <c r="AW45" t="str">
        <f>_xlfn.CONCAT(AI45:AV45)</f>
        <v>db 0F3h,0C3h</v>
      </c>
    </row>
    <row r="46" spans="1:49" x14ac:dyDescent="0.2">
      <c r="A46">
        <f t="shared" ref="A46:AH46" si="23">IF(A55&gt;0,0,3)</f>
        <v>3</v>
      </c>
      <c r="B46">
        <f t="shared" si="23"/>
        <v>3</v>
      </c>
      <c r="C46">
        <f t="shared" si="23"/>
        <v>3</v>
      </c>
      <c r="D46">
        <f t="shared" si="23"/>
        <v>0</v>
      </c>
      <c r="E46">
        <f t="shared" si="23"/>
        <v>0</v>
      </c>
      <c r="F46">
        <f t="shared" si="23"/>
        <v>3</v>
      </c>
      <c r="G46">
        <f t="shared" si="23"/>
        <v>3</v>
      </c>
      <c r="H46">
        <f t="shared" si="23"/>
        <v>3</v>
      </c>
      <c r="I46">
        <f t="shared" si="23"/>
        <v>3</v>
      </c>
      <c r="J46">
        <f t="shared" si="23"/>
        <v>3</v>
      </c>
      <c r="K46">
        <f t="shared" si="23"/>
        <v>3</v>
      </c>
      <c r="L46">
        <f t="shared" si="23"/>
        <v>3</v>
      </c>
      <c r="M46">
        <f t="shared" si="23"/>
        <v>3</v>
      </c>
      <c r="N46">
        <f t="shared" si="23"/>
        <v>3</v>
      </c>
      <c r="O46">
        <f t="shared" si="23"/>
        <v>3</v>
      </c>
      <c r="P46">
        <f t="shared" si="23"/>
        <v>3</v>
      </c>
      <c r="Q46">
        <f t="shared" si="23"/>
        <v>3</v>
      </c>
      <c r="R46">
        <f t="shared" si="23"/>
        <v>3</v>
      </c>
      <c r="S46">
        <f t="shared" si="23"/>
        <v>3</v>
      </c>
      <c r="T46">
        <f t="shared" si="23"/>
        <v>3</v>
      </c>
      <c r="U46">
        <f t="shared" si="23"/>
        <v>3</v>
      </c>
      <c r="V46">
        <f t="shared" si="23"/>
        <v>3</v>
      </c>
      <c r="W46">
        <f t="shared" si="23"/>
        <v>3</v>
      </c>
      <c r="X46">
        <f t="shared" si="23"/>
        <v>3</v>
      </c>
      <c r="Y46">
        <f t="shared" si="23"/>
        <v>3</v>
      </c>
      <c r="Z46">
        <f t="shared" si="23"/>
        <v>3</v>
      </c>
      <c r="AA46">
        <f t="shared" si="23"/>
        <v>3</v>
      </c>
      <c r="AB46">
        <f t="shared" si="23"/>
        <v>3</v>
      </c>
      <c r="AC46">
        <f t="shared" si="23"/>
        <v>3</v>
      </c>
      <c r="AD46">
        <f t="shared" si="23"/>
        <v>3</v>
      </c>
      <c r="AE46">
        <f t="shared" si="23"/>
        <v>3</v>
      </c>
      <c r="AF46">
        <f t="shared" si="23"/>
        <v>3</v>
      </c>
      <c r="AG46">
        <f t="shared" si="23"/>
        <v>3</v>
      </c>
      <c r="AH46">
        <f t="shared" si="23"/>
        <v>3</v>
      </c>
      <c r="AI46" t="s">
        <v>1</v>
      </c>
      <c r="AJ46" t="str">
        <f>"0"&amp;DEC2HEX(A46*64+B46*16+C46*4+D46)&amp;"h"</f>
        <v>0FCh</v>
      </c>
      <c r="AK46" t="s">
        <v>0</v>
      </c>
      <c r="AN46" t="str">
        <f>"0"&amp;DEC2HEX(E46*64+F46*16+G46*4+H46)&amp;"h"</f>
        <v>03Fh</v>
      </c>
      <c r="AW46" t="str">
        <f>_xlfn.CONCAT(AI46:AV46)</f>
        <v>db 0FCh,03Fh</v>
      </c>
    </row>
    <row r="47" spans="1:49" x14ac:dyDescent="0.2">
      <c r="A47">
        <v>3</v>
      </c>
      <c r="E47">
        <v>3</v>
      </c>
      <c r="I47">
        <v>3</v>
      </c>
      <c r="M47">
        <v>3</v>
      </c>
      <c r="Q47">
        <v>3</v>
      </c>
    </row>
    <row r="48" spans="1:49" x14ac:dyDescent="0.2">
      <c r="A48">
        <v>0</v>
      </c>
      <c r="B48">
        <v>0</v>
      </c>
      <c r="C48">
        <v>0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AI48" t="s">
        <v>1</v>
      </c>
      <c r="AJ48" t="str">
        <f>"0"&amp;DEC2HEX(A48*64+B48*16+C48*4+D48)&amp;"h"</f>
        <v>01h</v>
      </c>
      <c r="AK48" t="s">
        <v>0</v>
      </c>
      <c r="AN48" t="str">
        <f>"0"&amp;DEC2HEX(E48*64+F48*16+G48*4+H48)&amp;"h"</f>
        <v>050h</v>
      </c>
      <c r="AW48" t="str">
        <f>_xlfn.CONCAT(AI48:AV48)</f>
        <v>db 01h,050h</v>
      </c>
    </row>
    <row r="49" spans="1:49" x14ac:dyDescent="0.2">
      <c r="A49">
        <v>0</v>
      </c>
      <c r="B49">
        <v>0</v>
      </c>
      <c r="C49">
        <v>1</v>
      </c>
      <c r="D49">
        <v>0</v>
      </c>
      <c r="E49">
        <v>1</v>
      </c>
      <c r="F49">
        <v>0</v>
      </c>
      <c r="G49">
        <v>1</v>
      </c>
      <c r="H49">
        <v>0</v>
      </c>
      <c r="I49">
        <v>0</v>
      </c>
      <c r="AI49" t="s">
        <v>1</v>
      </c>
      <c r="AJ49" t="str">
        <f>"0"&amp;DEC2HEX(A49*64+B49*16+C49*4+D49)&amp;"h"</f>
        <v>04h</v>
      </c>
      <c r="AK49" t="s">
        <v>0</v>
      </c>
      <c r="AN49" t="str">
        <f>"0"&amp;DEC2HEX(E49*64+F49*16+G49*4+H49)&amp;"h"</f>
        <v>044h</v>
      </c>
      <c r="AW49" t="str">
        <f>_xlfn.CONCAT(AI49:AV49)</f>
        <v>db 04h,044h</v>
      </c>
    </row>
    <row r="50" spans="1:49" x14ac:dyDescent="0.2">
      <c r="A50">
        <v>0</v>
      </c>
      <c r="B50">
        <v>1</v>
      </c>
      <c r="C50">
        <v>0</v>
      </c>
      <c r="D50">
        <v>1</v>
      </c>
      <c r="E50">
        <v>0</v>
      </c>
      <c r="F50">
        <v>1</v>
      </c>
      <c r="G50">
        <v>0</v>
      </c>
      <c r="H50">
        <v>1</v>
      </c>
      <c r="I50">
        <v>0</v>
      </c>
      <c r="AI50" t="s">
        <v>1</v>
      </c>
      <c r="AJ50" t="str">
        <f>"0"&amp;DEC2HEX(A50*64+B50*16+C50*4+D50)&amp;"h"</f>
        <v>011h</v>
      </c>
      <c r="AK50" t="s">
        <v>0</v>
      </c>
      <c r="AN50" t="str">
        <f>"0"&amp;DEC2HEX(E50*64+F50*16+G50*4+H50)&amp;"h"</f>
        <v>011h</v>
      </c>
      <c r="AW50" t="str">
        <f>_xlfn.CONCAT(AI50:AV50)</f>
        <v>db 011h,011h</v>
      </c>
    </row>
    <row r="51" spans="1:49" x14ac:dyDescent="0.2">
      <c r="A51">
        <v>1</v>
      </c>
      <c r="B51">
        <v>1</v>
      </c>
      <c r="C51">
        <v>0</v>
      </c>
      <c r="D51">
        <v>1</v>
      </c>
      <c r="E51">
        <v>0</v>
      </c>
      <c r="F51">
        <v>0</v>
      </c>
      <c r="G51">
        <v>1</v>
      </c>
      <c r="H51">
        <v>0</v>
      </c>
      <c r="I51">
        <v>0</v>
      </c>
      <c r="AI51" t="s">
        <v>1</v>
      </c>
      <c r="AJ51" t="str">
        <f>"0"&amp;DEC2HEX(A51*64+B51*16+C51*4+D51)&amp;"h"</f>
        <v>051h</v>
      </c>
      <c r="AK51" t="s">
        <v>0</v>
      </c>
      <c r="AN51" t="str">
        <f>"0"&amp;DEC2HEX(E51*64+F51*16+G51*4+H51)&amp;"h"</f>
        <v>04h</v>
      </c>
      <c r="AW51" t="str">
        <f>_xlfn.CONCAT(AI51:AV51)</f>
        <v>db 051h,04h</v>
      </c>
    </row>
    <row r="52" spans="1:49" x14ac:dyDescent="0.2">
      <c r="A52">
        <v>1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1</v>
      </c>
      <c r="I52">
        <v>0</v>
      </c>
      <c r="AI52" t="s">
        <v>1</v>
      </c>
      <c r="AJ52" t="str">
        <f>"0"&amp;DEC2HEX(A52*64+B52*16+C52*4+D52)&amp;"h"</f>
        <v>044h</v>
      </c>
      <c r="AK52" t="s">
        <v>0</v>
      </c>
      <c r="AN52" t="str">
        <f>"0"&amp;DEC2HEX(E52*64+F52*16+G52*4+H52)&amp;"h"</f>
        <v>011h</v>
      </c>
      <c r="AW52" t="str">
        <f>_xlfn.CONCAT(AI52:AV52)</f>
        <v>db 044h,011h</v>
      </c>
    </row>
    <row r="53" spans="1:49" x14ac:dyDescent="0.2">
      <c r="A53">
        <v>0</v>
      </c>
      <c r="B53">
        <v>1</v>
      </c>
      <c r="C53">
        <v>0</v>
      </c>
      <c r="D53">
        <v>0</v>
      </c>
      <c r="E53">
        <v>1</v>
      </c>
      <c r="F53">
        <v>0</v>
      </c>
      <c r="G53">
        <v>0</v>
      </c>
      <c r="H53">
        <v>1</v>
      </c>
      <c r="I53">
        <v>0</v>
      </c>
      <c r="AI53" t="s">
        <v>1</v>
      </c>
      <c r="AJ53" t="str">
        <f>"0"&amp;DEC2HEX(A53*64+B53*16+C53*4+D53)&amp;"h"</f>
        <v>010h</v>
      </c>
      <c r="AK53" t="s">
        <v>0</v>
      </c>
      <c r="AN53" t="str">
        <f>"0"&amp;DEC2HEX(E53*64+F53*16+G53*4+H53)&amp;"h"</f>
        <v>041h</v>
      </c>
      <c r="AW53" t="str">
        <f>_xlfn.CONCAT(AI53:AV53)</f>
        <v>db 010h,041h</v>
      </c>
    </row>
    <row r="54" spans="1:49" x14ac:dyDescent="0.2">
      <c r="A54">
        <v>0</v>
      </c>
      <c r="B54">
        <v>0</v>
      </c>
      <c r="C54">
        <v>1</v>
      </c>
      <c r="D54">
        <v>0</v>
      </c>
      <c r="E54">
        <v>0</v>
      </c>
      <c r="F54">
        <v>1</v>
      </c>
      <c r="G54">
        <v>1</v>
      </c>
      <c r="H54">
        <v>0</v>
      </c>
      <c r="I54">
        <v>0</v>
      </c>
      <c r="AI54" t="s">
        <v>1</v>
      </c>
      <c r="AJ54" t="str">
        <f>"0"&amp;DEC2HEX(A54*64+B54*16+C54*4+D54)&amp;"h"</f>
        <v>04h</v>
      </c>
      <c r="AK54" t="s">
        <v>0</v>
      </c>
      <c r="AN54" t="str">
        <f>"0"&amp;DEC2HEX(E54*64+F54*16+G54*4+H54)&amp;"h"</f>
        <v>014h</v>
      </c>
      <c r="AW54" t="str">
        <f>_xlfn.CONCAT(AI54:AV54)</f>
        <v>db 04h,014h</v>
      </c>
    </row>
    <row r="55" spans="1:49" x14ac:dyDescent="0.2">
      <c r="A55">
        <v>0</v>
      </c>
      <c r="B55">
        <v>0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AI55" t="s">
        <v>1</v>
      </c>
      <c r="AJ55" t="str">
        <f>"0"&amp;DEC2HEX(A55*64+B55*16+C55*4+D55)&amp;"h"</f>
        <v>01h</v>
      </c>
      <c r="AK55" t="s">
        <v>0</v>
      </c>
      <c r="AN55" t="str">
        <f>"0"&amp;DEC2HEX(E55*64+F55*16+G55*4+H55)&amp;"h"</f>
        <v>040h</v>
      </c>
      <c r="AW55" t="str">
        <f>_xlfn.CONCAT(AI55:AV55)</f>
        <v>db 01h,040h</v>
      </c>
    </row>
    <row r="56" spans="1:49" x14ac:dyDescent="0.2">
      <c r="AI56" s="1" t="s">
        <v>10</v>
      </c>
    </row>
    <row r="57" spans="1:49" x14ac:dyDescent="0.2">
      <c r="A57">
        <f>IF(A66&gt;0,0,3)</f>
        <v>0</v>
      </c>
      <c r="B57">
        <f t="shared" ref="B57:AH57" si="24">IF(B66&gt;0,0,3)</f>
        <v>0</v>
      </c>
      <c r="C57">
        <f t="shared" si="24"/>
        <v>0</v>
      </c>
      <c r="D57">
        <f t="shared" si="24"/>
        <v>0</v>
      </c>
      <c r="E57">
        <f t="shared" si="24"/>
        <v>0</v>
      </c>
      <c r="F57">
        <f t="shared" si="24"/>
        <v>0</v>
      </c>
      <c r="G57">
        <f t="shared" si="24"/>
        <v>0</v>
      </c>
      <c r="H57">
        <f t="shared" si="24"/>
        <v>0</v>
      </c>
      <c r="I57">
        <f t="shared" si="24"/>
        <v>3</v>
      </c>
      <c r="J57">
        <f t="shared" si="24"/>
        <v>3</v>
      </c>
      <c r="K57">
        <f t="shared" si="24"/>
        <v>3</v>
      </c>
      <c r="L57">
        <f t="shared" si="24"/>
        <v>3</v>
      </c>
      <c r="M57">
        <f t="shared" si="24"/>
        <v>3</v>
      </c>
      <c r="N57">
        <f t="shared" si="24"/>
        <v>3</v>
      </c>
      <c r="O57">
        <f t="shared" si="24"/>
        <v>3</v>
      </c>
      <c r="P57">
        <f t="shared" si="24"/>
        <v>3</v>
      </c>
      <c r="Q57">
        <f t="shared" si="24"/>
        <v>3</v>
      </c>
      <c r="R57">
        <f t="shared" si="24"/>
        <v>3</v>
      </c>
      <c r="S57">
        <f t="shared" si="24"/>
        <v>3</v>
      </c>
      <c r="T57">
        <f t="shared" si="24"/>
        <v>3</v>
      </c>
      <c r="U57">
        <f t="shared" si="24"/>
        <v>3</v>
      </c>
      <c r="V57">
        <f t="shared" si="24"/>
        <v>3</v>
      </c>
      <c r="W57">
        <f t="shared" si="24"/>
        <v>3</v>
      </c>
      <c r="X57">
        <f t="shared" si="24"/>
        <v>3</v>
      </c>
      <c r="Y57">
        <f t="shared" si="24"/>
        <v>3</v>
      </c>
      <c r="Z57">
        <f t="shared" si="24"/>
        <v>3</v>
      </c>
      <c r="AA57">
        <f t="shared" si="24"/>
        <v>3</v>
      </c>
      <c r="AB57">
        <f t="shared" si="24"/>
        <v>3</v>
      </c>
      <c r="AC57">
        <f t="shared" si="24"/>
        <v>3</v>
      </c>
      <c r="AD57">
        <f t="shared" si="24"/>
        <v>3</v>
      </c>
      <c r="AE57">
        <f t="shared" si="24"/>
        <v>3</v>
      </c>
      <c r="AF57">
        <f t="shared" si="24"/>
        <v>3</v>
      </c>
      <c r="AG57">
        <f t="shared" si="24"/>
        <v>3</v>
      </c>
      <c r="AH57">
        <f t="shared" si="24"/>
        <v>3</v>
      </c>
      <c r="AI57" t="s">
        <v>1</v>
      </c>
      <c r="AJ57" t="str">
        <f>"0"&amp;DEC2HEX(A57*64+B57*16+C57*4+D57)&amp;"h"</f>
        <v>00h</v>
      </c>
      <c r="AK57" t="s">
        <v>0</v>
      </c>
      <c r="AN57" t="str">
        <f>"0"&amp;DEC2HEX(E57*64+F57*16+G57*4+H57)&amp;"h"</f>
        <v>00h</v>
      </c>
      <c r="AW57" t="str">
        <f>_xlfn.CONCAT(AI57:AV57)</f>
        <v>db 00h,00h</v>
      </c>
    </row>
    <row r="58" spans="1:49" x14ac:dyDescent="0.2">
      <c r="A58">
        <f t="shared" ref="A58:AH58" si="25">IF(A67&gt;0,0,3)</f>
        <v>0</v>
      </c>
      <c r="B58">
        <f t="shared" si="25"/>
        <v>0</v>
      </c>
      <c r="C58">
        <f t="shared" si="25"/>
        <v>0</v>
      </c>
      <c r="D58">
        <f t="shared" si="25"/>
        <v>0</v>
      </c>
      <c r="E58">
        <f t="shared" si="25"/>
        <v>0</v>
      </c>
      <c r="F58">
        <f t="shared" si="25"/>
        <v>0</v>
      </c>
      <c r="G58">
        <f t="shared" si="25"/>
        <v>0</v>
      </c>
      <c r="H58">
        <f t="shared" si="25"/>
        <v>0</v>
      </c>
      <c r="I58">
        <f t="shared" si="25"/>
        <v>3</v>
      </c>
      <c r="J58">
        <f t="shared" si="25"/>
        <v>3</v>
      </c>
      <c r="K58">
        <f t="shared" si="25"/>
        <v>3</v>
      </c>
      <c r="L58">
        <f t="shared" si="25"/>
        <v>3</v>
      </c>
      <c r="M58">
        <f t="shared" si="25"/>
        <v>3</v>
      </c>
      <c r="N58">
        <f t="shared" si="25"/>
        <v>3</v>
      </c>
      <c r="O58">
        <f t="shared" si="25"/>
        <v>3</v>
      </c>
      <c r="P58">
        <f t="shared" si="25"/>
        <v>3</v>
      </c>
      <c r="Q58">
        <f t="shared" si="25"/>
        <v>3</v>
      </c>
      <c r="R58">
        <f t="shared" si="25"/>
        <v>3</v>
      </c>
      <c r="S58">
        <f t="shared" si="25"/>
        <v>3</v>
      </c>
      <c r="T58">
        <f t="shared" si="25"/>
        <v>3</v>
      </c>
      <c r="U58">
        <f t="shared" si="25"/>
        <v>3</v>
      </c>
      <c r="V58">
        <f t="shared" si="25"/>
        <v>3</v>
      </c>
      <c r="W58">
        <f t="shared" si="25"/>
        <v>3</v>
      </c>
      <c r="X58">
        <f t="shared" si="25"/>
        <v>3</v>
      </c>
      <c r="Y58">
        <f t="shared" si="25"/>
        <v>3</v>
      </c>
      <c r="Z58">
        <f t="shared" si="25"/>
        <v>3</v>
      </c>
      <c r="AA58">
        <f t="shared" si="25"/>
        <v>3</v>
      </c>
      <c r="AB58">
        <f t="shared" si="25"/>
        <v>3</v>
      </c>
      <c r="AC58">
        <f t="shared" si="25"/>
        <v>3</v>
      </c>
      <c r="AD58">
        <f t="shared" si="25"/>
        <v>3</v>
      </c>
      <c r="AE58">
        <f t="shared" si="25"/>
        <v>3</v>
      </c>
      <c r="AF58">
        <f t="shared" si="25"/>
        <v>3</v>
      </c>
      <c r="AG58">
        <f t="shared" si="25"/>
        <v>3</v>
      </c>
      <c r="AH58">
        <f t="shared" si="25"/>
        <v>3</v>
      </c>
      <c r="AI58" t="s">
        <v>1</v>
      </c>
      <c r="AJ58" t="str">
        <f>"0"&amp;DEC2HEX(A58*64+B58*16+C58*4+D58)&amp;"h"</f>
        <v>00h</v>
      </c>
      <c r="AK58" t="s">
        <v>0</v>
      </c>
      <c r="AN58" t="str">
        <f>"0"&amp;DEC2HEX(E58*64+F58*16+G58*4+H58)&amp;"h"</f>
        <v>00h</v>
      </c>
      <c r="AW58" t="str">
        <f>_xlfn.CONCAT(AI58:AV58)</f>
        <v>db 00h,00h</v>
      </c>
    </row>
    <row r="59" spans="1:49" x14ac:dyDescent="0.2">
      <c r="A59">
        <f t="shared" ref="A59:AH59" si="26">IF(A68&gt;0,0,3)</f>
        <v>0</v>
      </c>
      <c r="B59">
        <f t="shared" si="26"/>
        <v>0</v>
      </c>
      <c r="C59">
        <f t="shared" si="26"/>
        <v>0</v>
      </c>
      <c r="D59">
        <f t="shared" si="26"/>
        <v>0</v>
      </c>
      <c r="E59">
        <f t="shared" si="26"/>
        <v>0</v>
      </c>
      <c r="F59">
        <f t="shared" si="26"/>
        <v>0</v>
      </c>
      <c r="G59">
        <f t="shared" si="26"/>
        <v>0</v>
      </c>
      <c r="H59">
        <f t="shared" si="26"/>
        <v>0</v>
      </c>
      <c r="I59">
        <f t="shared" si="26"/>
        <v>3</v>
      </c>
      <c r="J59">
        <f t="shared" si="26"/>
        <v>3</v>
      </c>
      <c r="K59">
        <f t="shared" si="26"/>
        <v>3</v>
      </c>
      <c r="L59">
        <f t="shared" si="26"/>
        <v>3</v>
      </c>
      <c r="M59">
        <f t="shared" si="26"/>
        <v>3</v>
      </c>
      <c r="N59">
        <f t="shared" si="26"/>
        <v>3</v>
      </c>
      <c r="O59">
        <f t="shared" si="26"/>
        <v>3</v>
      </c>
      <c r="P59">
        <f t="shared" si="26"/>
        <v>3</v>
      </c>
      <c r="Q59">
        <f t="shared" si="26"/>
        <v>3</v>
      </c>
      <c r="R59">
        <f t="shared" si="26"/>
        <v>3</v>
      </c>
      <c r="S59">
        <f t="shared" si="26"/>
        <v>3</v>
      </c>
      <c r="T59">
        <f t="shared" si="26"/>
        <v>3</v>
      </c>
      <c r="U59">
        <f t="shared" si="26"/>
        <v>3</v>
      </c>
      <c r="V59">
        <f t="shared" si="26"/>
        <v>3</v>
      </c>
      <c r="W59">
        <f t="shared" si="26"/>
        <v>3</v>
      </c>
      <c r="X59">
        <f t="shared" si="26"/>
        <v>3</v>
      </c>
      <c r="Y59">
        <f t="shared" si="26"/>
        <v>3</v>
      </c>
      <c r="Z59">
        <f t="shared" si="26"/>
        <v>3</v>
      </c>
      <c r="AA59">
        <f t="shared" si="26"/>
        <v>3</v>
      </c>
      <c r="AB59">
        <f t="shared" si="26"/>
        <v>3</v>
      </c>
      <c r="AC59">
        <f t="shared" si="26"/>
        <v>3</v>
      </c>
      <c r="AD59">
        <f t="shared" si="26"/>
        <v>3</v>
      </c>
      <c r="AE59">
        <f t="shared" si="26"/>
        <v>3</v>
      </c>
      <c r="AF59">
        <f t="shared" si="26"/>
        <v>3</v>
      </c>
      <c r="AG59">
        <f t="shared" si="26"/>
        <v>3</v>
      </c>
      <c r="AH59">
        <f t="shared" si="26"/>
        <v>3</v>
      </c>
      <c r="AI59" t="s">
        <v>1</v>
      </c>
      <c r="AJ59" t="str">
        <f>"0"&amp;DEC2HEX(A59*64+B59*16+C59*4+D59)&amp;"h"</f>
        <v>00h</v>
      </c>
      <c r="AK59" t="s">
        <v>0</v>
      </c>
      <c r="AN59" t="str">
        <f>"0"&amp;DEC2HEX(E59*64+F59*16+G59*4+H59)&amp;"h"</f>
        <v>00h</v>
      </c>
      <c r="AW59" t="str">
        <f>_xlfn.CONCAT(AI59:AV59)</f>
        <v>db 00h,00h</v>
      </c>
    </row>
    <row r="60" spans="1:49" x14ac:dyDescent="0.2">
      <c r="A60">
        <f t="shared" ref="A60:AH60" si="27">IF(A69&gt;0,0,3)</f>
        <v>0</v>
      </c>
      <c r="B60">
        <f t="shared" si="27"/>
        <v>0</v>
      </c>
      <c r="C60">
        <f t="shared" si="27"/>
        <v>0</v>
      </c>
      <c r="D60">
        <f t="shared" si="27"/>
        <v>0</v>
      </c>
      <c r="E60">
        <f t="shared" si="27"/>
        <v>0</v>
      </c>
      <c r="F60">
        <f t="shared" si="27"/>
        <v>0</v>
      </c>
      <c r="G60">
        <f t="shared" si="27"/>
        <v>0</v>
      </c>
      <c r="H60">
        <f t="shared" si="27"/>
        <v>0</v>
      </c>
      <c r="I60">
        <f t="shared" si="27"/>
        <v>3</v>
      </c>
      <c r="J60">
        <f t="shared" si="27"/>
        <v>3</v>
      </c>
      <c r="K60">
        <f t="shared" si="27"/>
        <v>3</v>
      </c>
      <c r="L60">
        <f t="shared" si="27"/>
        <v>3</v>
      </c>
      <c r="M60">
        <f t="shared" si="27"/>
        <v>3</v>
      </c>
      <c r="N60">
        <f t="shared" si="27"/>
        <v>3</v>
      </c>
      <c r="O60">
        <f t="shared" si="27"/>
        <v>3</v>
      </c>
      <c r="P60">
        <f t="shared" si="27"/>
        <v>3</v>
      </c>
      <c r="Q60">
        <f t="shared" si="27"/>
        <v>3</v>
      </c>
      <c r="R60">
        <f t="shared" si="27"/>
        <v>3</v>
      </c>
      <c r="S60">
        <f t="shared" si="27"/>
        <v>3</v>
      </c>
      <c r="T60">
        <f t="shared" si="27"/>
        <v>3</v>
      </c>
      <c r="U60">
        <f t="shared" si="27"/>
        <v>3</v>
      </c>
      <c r="V60">
        <f t="shared" si="27"/>
        <v>3</v>
      </c>
      <c r="W60">
        <f t="shared" si="27"/>
        <v>3</v>
      </c>
      <c r="X60">
        <f t="shared" si="27"/>
        <v>3</v>
      </c>
      <c r="Y60">
        <f t="shared" si="27"/>
        <v>3</v>
      </c>
      <c r="Z60">
        <f t="shared" si="27"/>
        <v>3</v>
      </c>
      <c r="AA60">
        <f t="shared" si="27"/>
        <v>3</v>
      </c>
      <c r="AB60">
        <f t="shared" si="27"/>
        <v>3</v>
      </c>
      <c r="AC60">
        <f t="shared" si="27"/>
        <v>3</v>
      </c>
      <c r="AD60">
        <f t="shared" si="27"/>
        <v>3</v>
      </c>
      <c r="AE60">
        <f t="shared" si="27"/>
        <v>3</v>
      </c>
      <c r="AF60">
        <f t="shared" si="27"/>
        <v>3</v>
      </c>
      <c r="AG60">
        <f t="shared" si="27"/>
        <v>3</v>
      </c>
      <c r="AH60">
        <f t="shared" si="27"/>
        <v>3</v>
      </c>
      <c r="AI60" t="s">
        <v>1</v>
      </c>
      <c r="AJ60" t="str">
        <f>"0"&amp;DEC2HEX(A60*64+B60*16+C60*4+D60)&amp;"h"</f>
        <v>00h</v>
      </c>
      <c r="AK60" t="s">
        <v>0</v>
      </c>
      <c r="AN60" t="str">
        <f>"0"&amp;DEC2HEX(E60*64+F60*16+G60*4+H60)&amp;"h"</f>
        <v>00h</v>
      </c>
      <c r="AW60" t="str">
        <f>_xlfn.CONCAT(AI60:AV60)</f>
        <v>db 00h,00h</v>
      </c>
    </row>
    <row r="61" spans="1:49" x14ac:dyDescent="0.2">
      <c r="A61">
        <f t="shared" ref="A61:AH61" si="28">IF(A70&gt;0,0,3)</f>
        <v>0</v>
      </c>
      <c r="B61">
        <f t="shared" si="28"/>
        <v>0</v>
      </c>
      <c r="C61">
        <f t="shared" si="28"/>
        <v>0</v>
      </c>
      <c r="D61">
        <f t="shared" si="28"/>
        <v>0</v>
      </c>
      <c r="E61">
        <f t="shared" si="28"/>
        <v>0</v>
      </c>
      <c r="F61">
        <f t="shared" si="28"/>
        <v>0</v>
      </c>
      <c r="G61">
        <f t="shared" si="28"/>
        <v>0</v>
      </c>
      <c r="H61">
        <f t="shared" si="28"/>
        <v>0</v>
      </c>
      <c r="I61">
        <f t="shared" si="28"/>
        <v>3</v>
      </c>
      <c r="J61">
        <f t="shared" si="28"/>
        <v>3</v>
      </c>
      <c r="K61">
        <f t="shared" si="28"/>
        <v>3</v>
      </c>
      <c r="L61">
        <f t="shared" si="28"/>
        <v>3</v>
      </c>
      <c r="M61">
        <f t="shared" si="28"/>
        <v>3</v>
      </c>
      <c r="N61">
        <f t="shared" si="28"/>
        <v>3</v>
      </c>
      <c r="O61">
        <f t="shared" si="28"/>
        <v>3</v>
      </c>
      <c r="P61">
        <f t="shared" si="28"/>
        <v>3</v>
      </c>
      <c r="Q61">
        <f t="shared" si="28"/>
        <v>3</v>
      </c>
      <c r="R61">
        <f t="shared" si="28"/>
        <v>3</v>
      </c>
      <c r="S61">
        <f t="shared" si="28"/>
        <v>3</v>
      </c>
      <c r="T61">
        <f t="shared" si="28"/>
        <v>3</v>
      </c>
      <c r="U61">
        <f t="shared" si="28"/>
        <v>3</v>
      </c>
      <c r="V61">
        <f t="shared" si="28"/>
        <v>3</v>
      </c>
      <c r="W61">
        <f t="shared" si="28"/>
        <v>3</v>
      </c>
      <c r="X61">
        <f t="shared" si="28"/>
        <v>3</v>
      </c>
      <c r="Y61">
        <f t="shared" si="28"/>
        <v>3</v>
      </c>
      <c r="Z61">
        <f t="shared" si="28"/>
        <v>3</v>
      </c>
      <c r="AA61">
        <f t="shared" si="28"/>
        <v>3</v>
      </c>
      <c r="AB61">
        <f t="shared" si="28"/>
        <v>3</v>
      </c>
      <c r="AC61">
        <f t="shared" si="28"/>
        <v>3</v>
      </c>
      <c r="AD61">
        <f t="shared" si="28"/>
        <v>3</v>
      </c>
      <c r="AE61">
        <f t="shared" si="28"/>
        <v>3</v>
      </c>
      <c r="AF61">
        <f t="shared" si="28"/>
        <v>3</v>
      </c>
      <c r="AG61">
        <f t="shared" si="28"/>
        <v>3</v>
      </c>
      <c r="AH61">
        <f t="shared" si="28"/>
        <v>3</v>
      </c>
      <c r="AI61" t="s">
        <v>1</v>
      </c>
      <c r="AJ61" t="str">
        <f>"0"&amp;DEC2HEX(A61*64+B61*16+C61*4+D61)&amp;"h"</f>
        <v>00h</v>
      </c>
      <c r="AK61" t="s">
        <v>0</v>
      </c>
      <c r="AN61" t="str">
        <f>"0"&amp;DEC2HEX(E61*64+F61*16+G61*4+H61)&amp;"h"</f>
        <v>00h</v>
      </c>
      <c r="AW61" t="str">
        <f>_xlfn.CONCAT(AI61:AV61)</f>
        <v>db 00h,00h</v>
      </c>
    </row>
    <row r="62" spans="1:49" x14ac:dyDescent="0.2">
      <c r="A62">
        <f t="shared" ref="A62:AH62" si="29">IF(A71&gt;0,0,3)</f>
        <v>0</v>
      </c>
      <c r="B62">
        <f t="shared" si="29"/>
        <v>0</v>
      </c>
      <c r="C62">
        <f t="shared" si="29"/>
        <v>0</v>
      </c>
      <c r="D62">
        <f t="shared" si="29"/>
        <v>0</v>
      </c>
      <c r="E62">
        <f t="shared" si="29"/>
        <v>0</v>
      </c>
      <c r="F62">
        <f t="shared" si="29"/>
        <v>0</v>
      </c>
      <c r="G62">
        <f t="shared" si="29"/>
        <v>0</v>
      </c>
      <c r="H62">
        <f t="shared" si="29"/>
        <v>0</v>
      </c>
      <c r="I62">
        <f t="shared" si="29"/>
        <v>3</v>
      </c>
      <c r="J62">
        <f t="shared" si="29"/>
        <v>3</v>
      </c>
      <c r="K62">
        <f t="shared" si="29"/>
        <v>3</v>
      </c>
      <c r="L62">
        <f t="shared" si="29"/>
        <v>3</v>
      </c>
      <c r="M62">
        <f t="shared" si="29"/>
        <v>3</v>
      </c>
      <c r="N62">
        <f t="shared" si="29"/>
        <v>3</v>
      </c>
      <c r="O62">
        <f t="shared" si="29"/>
        <v>3</v>
      </c>
      <c r="P62">
        <f t="shared" si="29"/>
        <v>3</v>
      </c>
      <c r="Q62">
        <f t="shared" si="29"/>
        <v>3</v>
      </c>
      <c r="R62">
        <f t="shared" si="29"/>
        <v>3</v>
      </c>
      <c r="S62">
        <f t="shared" si="29"/>
        <v>3</v>
      </c>
      <c r="T62">
        <f t="shared" si="29"/>
        <v>3</v>
      </c>
      <c r="U62">
        <f t="shared" si="29"/>
        <v>3</v>
      </c>
      <c r="V62">
        <f t="shared" si="29"/>
        <v>3</v>
      </c>
      <c r="W62">
        <f t="shared" si="29"/>
        <v>3</v>
      </c>
      <c r="X62">
        <f t="shared" si="29"/>
        <v>3</v>
      </c>
      <c r="Y62">
        <f t="shared" si="29"/>
        <v>3</v>
      </c>
      <c r="Z62">
        <f t="shared" si="29"/>
        <v>3</v>
      </c>
      <c r="AA62">
        <f t="shared" si="29"/>
        <v>3</v>
      </c>
      <c r="AB62">
        <f t="shared" si="29"/>
        <v>3</v>
      </c>
      <c r="AC62">
        <f t="shared" si="29"/>
        <v>3</v>
      </c>
      <c r="AD62">
        <f t="shared" si="29"/>
        <v>3</v>
      </c>
      <c r="AE62">
        <f t="shared" si="29"/>
        <v>3</v>
      </c>
      <c r="AF62">
        <f t="shared" si="29"/>
        <v>3</v>
      </c>
      <c r="AG62">
        <f t="shared" si="29"/>
        <v>3</v>
      </c>
      <c r="AH62">
        <f t="shared" si="29"/>
        <v>3</v>
      </c>
      <c r="AI62" t="s">
        <v>1</v>
      </c>
      <c r="AJ62" t="str">
        <f>"0"&amp;DEC2HEX(A62*64+B62*16+C62*4+D62)&amp;"h"</f>
        <v>00h</v>
      </c>
      <c r="AK62" t="s">
        <v>0</v>
      </c>
      <c r="AN62" t="str">
        <f>"0"&amp;DEC2HEX(E62*64+F62*16+G62*4+H62)&amp;"h"</f>
        <v>00h</v>
      </c>
      <c r="AW62" t="str">
        <f>_xlfn.CONCAT(AI62:AV62)</f>
        <v>db 00h,00h</v>
      </c>
    </row>
    <row r="63" spans="1:49" x14ac:dyDescent="0.2">
      <c r="A63">
        <f t="shared" ref="A63:AH63" si="30">IF(A72&gt;0,0,3)</f>
        <v>0</v>
      </c>
      <c r="B63">
        <f t="shared" si="30"/>
        <v>0</v>
      </c>
      <c r="C63">
        <f t="shared" si="30"/>
        <v>0</v>
      </c>
      <c r="D63">
        <f t="shared" si="30"/>
        <v>0</v>
      </c>
      <c r="E63">
        <f t="shared" si="30"/>
        <v>0</v>
      </c>
      <c r="F63">
        <f t="shared" si="30"/>
        <v>0</v>
      </c>
      <c r="G63">
        <f t="shared" si="30"/>
        <v>0</v>
      </c>
      <c r="H63">
        <f t="shared" si="30"/>
        <v>0</v>
      </c>
      <c r="I63">
        <f t="shared" si="30"/>
        <v>3</v>
      </c>
      <c r="J63">
        <f t="shared" si="30"/>
        <v>3</v>
      </c>
      <c r="K63">
        <f t="shared" si="30"/>
        <v>3</v>
      </c>
      <c r="L63">
        <f t="shared" si="30"/>
        <v>3</v>
      </c>
      <c r="M63">
        <f t="shared" si="30"/>
        <v>3</v>
      </c>
      <c r="N63">
        <f t="shared" si="30"/>
        <v>3</v>
      </c>
      <c r="O63">
        <f t="shared" si="30"/>
        <v>3</v>
      </c>
      <c r="P63">
        <f t="shared" si="30"/>
        <v>3</v>
      </c>
      <c r="Q63">
        <f t="shared" si="30"/>
        <v>3</v>
      </c>
      <c r="R63">
        <f t="shared" si="30"/>
        <v>3</v>
      </c>
      <c r="S63">
        <f t="shared" si="30"/>
        <v>3</v>
      </c>
      <c r="T63">
        <f t="shared" si="30"/>
        <v>3</v>
      </c>
      <c r="U63">
        <f t="shared" si="30"/>
        <v>3</v>
      </c>
      <c r="V63">
        <f t="shared" si="30"/>
        <v>3</v>
      </c>
      <c r="W63">
        <f t="shared" si="30"/>
        <v>3</v>
      </c>
      <c r="X63">
        <f t="shared" si="30"/>
        <v>3</v>
      </c>
      <c r="Y63">
        <f t="shared" si="30"/>
        <v>3</v>
      </c>
      <c r="Z63">
        <f t="shared" si="30"/>
        <v>3</v>
      </c>
      <c r="AA63">
        <f t="shared" si="30"/>
        <v>3</v>
      </c>
      <c r="AB63">
        <f t="shared" si="30"/>
        <v>3</v>
      </c>
      <c r="AC63">
        <f t="shared" si="30"/>
        <v>3</v>
      </c>
      <c r="AD63">
        <f t="shared" si="30"/>
        <v>3</v>
      </c>
      <c r="AE63">
        <f t="shared" si="30"/>
        <v>3</v>
      </c>
      <c r="AF63">
        <f t="shared" si="30"/>
        <v>3</v>
      </c>
      <c r="AG63">
        <f t="shared" si="30"/>
        <v>3</v>
      </c>
      <c r="AH63">
        <f t="shared" si="30"/>
        <v>3</v>
      </c>
      <c r="AI63" t="s">
        <v>1</v>
      </c>
      <c r="AJ63" t="str">
        <f>"0"&amp;DEC2HEX(A63*64+B63*16+C63*4+D63)&amp;"h"</f>
        <v>00h</v>
      </c>
      <c r="AK63" t="s">
        <v>0</v>
      </c>
      <c r="AN63" t="str">
        <f>"0"&amp;DEC2HEX(E63*64+F63*16+G63*4+H63)&amp;"h"</f>
        <v>00h</v>
      </c>
      <c r="AW63" t="str">
        <f>_xlfn.CONCAT(AI63:AV63)</f>
        <v>db 00h,00h</v>
      </c>
    </row>
    <row r="64" spans="1:49" x14ac:dyDescent="0.2">
      <c r="A64">
        <f t="shared" ref="A64:AH64" si="31">IF(A73&gt;0,0,3)</f>
        <v>0</v>
      </c>
      <c r="B64">
        <f t="shared" si="31"/>
        <v>0</v>
      </c>
      <c r="C64">
        <f t="shared" si="31"/>
        <v>0</v>
      </c>
      <c r="D64">
        <f t="shared" si="31"/>
        <v>0</v>
      </c>
      <c r="E64">
        <f t="shared" si="31"/>
        <v>0</v>
      </c>
      <c r="F64">
        <f t="shared" si="31"/>
        <v>0</v>
      </c>
      <c r="G64">
        <f t="shared" si="31"/>
        <v>0</v>
      </c>
      <c r="H64">
        <f t="shared" si="31"/>
        <v>0</v>
      </c>
      <c r="I64">
        <f t="shared" si="31"/>
        <v>3</v>
      </c>
      <c r="J64">
        <f t="shared" si="31"/>
        <v>3</v>
      </c>
      <c r="K64">
        <f t="shared" si="31"/>
        <v>3</v>
      </c>
      <c r="L64">
        <f t="shared" si="31"/>
        <v>3</v>
      </c>
      <c r="M64">
        <f t="shared" si="31"/>
        <v>3</v>
      </c>
      <c r="N64">
        <f t="shared" si="31"/>
        <v>3</v>
      </c>
      <c r="O64">
        <f t="shared" si="31"/>
        <v>3</v>
      </c>
      <c r="P64">
        <f t="shared" si="31"/>
        <v>3</v>
      </c>
      <c r="Q64">
        <f t="shared" si="31"/>
        <v>3</v>
      </c>
      <c r="R64">
        <f t="shared" si="31"/>
        <v>3</v>
      </c>
      <c r="S64">
        <f t="shared" si="31"/>
        <v>3</v>
      </c>
      <c r="T64">
        <f t="shared" si="31"/>
        <v>3</v>
      </c>
      <c r="U64">
        <f t="shared" si="31"/>
        <v>3</v>
      </c>
      <c r="V64">
        <f t="shared" si="31"/>
        <v>3</v>
      </c>
      <c r="W64">
        <f t="shared" si="31"/>
        <v>3</v>
      </c>
      <c r="X64">
        <f t="shared" si="31"/>
        <v>3</v>
      </c>
      <c r="Y64">
        <f t="shared" si="31"/>
        <v>3</v>
      </c>
      <c r="Z64">
        <f t="shared" si="31"/>
        <v>3</v>
      </c>
      <c r="AA64">
        <f t="shared" si="31"/>
        <v>3</v>
      </c>
      <c r="AB64">
        <f t="shared" si="31"/>
        <v>3</v>
      </c>
      <c r="AC64">
        <f t="shared" si="31"/>
        <v>3</v>
      </c>
      <c r="AD64">
        <f t="shared" si="31"/>
        <v>3</v>
      </c>
      <c r="AE64">
        <f t="shared" si="31"/>
        <v>3</v>
      </c>
      <c r="AF64">
        <f t="shared" si="31"/>
        <v>3</v>
      </c>
      <c r="AG64">
        <f t="shared" si="31"/>
        <v>3</v>
      </c>
      <c r="AH64">
        <f t="shared" si="31"/>
        <v>3</v>
      </c>
      <c r="AI64" t="s">
        <v>1</v>
      </c>
      <c r="AJ64" t="str">
        <f>"0"&amp;DEC2HEX(A64*64+B64*16+C64*4+D64)&amp;"h"</f>
        <v>00h</v>
      </c>
      <c r="AK64" t="s">
        <v>0</v>
      </c>
      <c r="AN64" t="str">
        <f>"0"&amp;DEC2HEX(E64*64+F64*16+G64*4+H64)&amp;"h"</f>
        <v>00h</v>
      </c>
      <c r="AW64" t="str">
        <f>_xlfn.CONCAT(AI64:AV64)</f>
        <v>db 00h,00h</v>
      </c>
    </row>
    <row r="65" spans="1:49" x14ac:dyDescent="0.2">
      <c r="A65">
        <v>3</v>
      </c>
      <c r="E65">
        <v>3</v>
      </c>
      <c r="I65">
        <v>3</v>
      </c>
      <c r="M65">
        <v>3</v>
      </c>
      <c r="Q65">
        <v>3</v>
      </c>
    </row>
    <row r="66" spans="1:49" x14ac:dyDescent="0.2">
      <c r="A66">
        <v>2</v>
      </c>
      <c r="B66">
        <v>1</v>
      </c>
      <c r="C66">
        <v>2</v>
      </c>
      <c r="D66">
        <v>1</v>
      </c>
      <c r="E66">
        <v>2</v>
      </c>
      <c r="F66">
        <v>1</v>
      </c>
      <c r="G66">
        <v>2</v>
      </c>
      <c r="H66">
        <v>1</v>
      </c>
      <c r="AI66" t="s">
        <v>1</v>
      </c>
      <c r="AJ66" t="str">
        <f>"0"&amp;DEC2HEX(A66*64+B66*16+C66*4+D66)&amp;"h"</f>
        <v>099h</v>
      </c>
      <c r="AK66" t="s">
        <v>0</v>
      </c>
      <c r="AN66" t="str">
        <f>"0"&amp;DEC2HEX(E66*64+F66*16+G66*4+H66)&amp;"h"</f>
        <v>099h</v>
      </c>
      <c r="AW66" t="str">
        <f>_xlfn.CONCAT(AI66:AV66)</f>
        <v>db 099h,099h</v>
      </c>
    </row>
    <row r="67" spans="1:49" x14ac:dyDescent="0.2">
      <c r="A67">
        <v>1</v>
      </c>
      <c r="B67">
        <v>2</v>
      </c>
      <c r="C67">
        <v>1</v>
      </c>
      <c r="D67">
        <v>2</v>
      </c>
      <c r="E67">
        <v>1</v>
      </c>
      <c r="F67">
        <v>2</v>
      </c>
      <c r="G67">
        <v>1</v>
      </c>
      <c r="H67">
        <v>2</v>
      </c>
      <c r="AI67" t="s">
        <v>1</v>
      </c>
      <c r="AJ67" t="str">
        <f>"0"&amp;DEC2HEX(A67*64+B67*16+C67*4+D67)&amp;"h"</f>
        <v>066h</v>
      </c>
      <c r="AK67" t="s">
        <v>0</v>
      </c>
      <c r="AN67" t="str">
        <f>"0"&amp;DEC2HEX(E67*64+F67*16+G67*4+H67)&amp;"h"</f>
        <v>066h</v>
      </c>
      <c r="AW67" t="str">
        <f>_xlfn.CONCAT(AI67:AV67)</f>
        <v>db 066h,066h</v>
      </c>
    </row>
    <row r="68" spans="1:49" x14ac:dyDescent="0.2">
      <c r="A68">
        <v>2</v>
      </c>
      <c r="B68">
        <v>1</v>
      </c>
      <c r="C68">
        <v>2</v>
      </c>
      <c r="D68">
        <v>1</v>
      </c>
      <c r="E68">
        <v>2</v>
      </c>
      <c r="F68">
        <v>1</v>
      </c>
      <c r="G68">
        <v>2</v>
      </c>
      <c r="H68">
        <v>1</v>
      </c>
      <c r="AI68" t="s">
        <v>1</v>
      </c>
      <c r="AJ68" t="str">
        <f>"0"&amp;DEC2HEX(A68*64+B68*16+C68*4+D68)&amp;"h"</f>
        <v>099h</v>
      </c>
      <c r="AK68" t="s">
        <v>0</v>
      </c>
      <c r="AN68" t="str">
        <f>"0"&amp;DEC2HEX(E68*64+F68*16+G68*4+H68)&amp;"h"</f>
        <v>099h</v>
      </c>
      <c r="AW68" t="str">
        <f>_xlfn.CONCAT(AI68:AV68)</f>
        <v>db 099h,099h</v>
      </c>
    </row>
    <row r="69" spans="1:49" x14ac:dyDescent="0.2">
      <c r="A69">
        <v>1</v>
      </c>
      <c r="B69">
        <v>2</v>
      </c>
      <c r="C69">
        <v>1</v>
      </c>
      <c r="D69">
        <v>2</v>
      </c>
      <c r="E69">
        <v>1</v>
      </c>
      <c r="F69">
        <v>2</v>
      </c>
      <c r="G69">
        <v>1</v>
      </c>
      <c r="H69">
        <v>2</v>
      </c>
      <c r="AI69" t="s">
        <v>1</v>
      </c>
      <c r="AJ69" t="str">
        <f>"0"&amp;DEC2HEX(A69*64+B69*16+C69*4+D69)&amp;"h"</f>
        <v>066h</v>
      </c>
      <c r="AK69" t="s">
        <v>0</v>
      </c>
      <c r="AN69" t="str">
        <f>"0"&amp;DEC2HEX(E69*64+F69*16+G69*4+H69)&amp;"h"</f>
        <v>066h</v>
      </c>
      <c r="AW69" t="str">
        <f>_xlfn.CONCAT(AI69:AV69)</f>
        <v>db 066h,066h</v>
      </c>
    </row>
    <row r="70" spans="1:49" x14ac:dyDescent="0.2">
      <c r="A70">
        <v>2</v>
      </c>
      <c r="B70">
        <v>1</v>
      </c>
      <c r="C70">
        <v>2</v>
      </c>
      <c r="D70">
        <v>1</v>
      </c>
      <c r="E70">
        <v>2</v>
      </c>
      <c r="F70">
        <v>1</v>
      </c>
      <c r="G70">
        <v>2</v>
      </c>
      <c r="H70">
        <v>1</v>
      </c>
      <c r="AI70" t="s">
        <v>1</v>
      </c>
      <c r="AJ70" t="str">
        <f>"0"&amp;DEC2HEX(A70*64+B70*16+C70*4+D70)&amp;"h"</f>
        <v>099h</v>
      </c>
      <c r="AK70" t="s">
        <v>0</v>
      </c>
      <c r="AN70" t="str">
        <f>"0"&amp;DEC2HEX(E70*64+F70*16+G70*4+H70)&amp;"h"</f>
        <v>099h</v>
      </c>
      <c r="AW70" t="str">
        <f>_xlfn.CONCAT(AI70:AV70)</f>
        <v>db 099h,099h</v>
      </c>
    </row>
    <row r="71" spans="1:49" x14ac:dyDescent="0.2">
      <c r="A71">
        <v>1</v>
      </c>
      <c r="B71">
        <v>2</v>
      </c>
      <c r="C71">
        <v>1</v>
      </c>
      <c r="D71">
        <v>2</v>
      </c>
      <c r="E71">
        <v>1</v>
      </c>
      <c r="F71">
        <v>2</v>
      </c>
      <c r="G71">
        <v>1</v>
      </c>
      <c r="H71">
        <v>2</v>
      </c>
      <c r="AI71" t="s">
        <v>1</v>
      </c>
      <c r="AJ71" t="str">
        <f>"0"&amp;DEC2HEX(A71*64+B71*16+C71*4+D71)&amp;"h"</f>
        <v>066h</v>
      </c>
      <c r="AK71" t="s">
        <v>0</v>
      </c>
      <c r="AN71" t="str">
        <f>"0"&amp;DEC2HEX(E71*64+F71*16+G71*4+H71)&amp;"h"</f>
        <v>066h</v>
      </c>
      <c r="AW71" t="str">
        <f>_xlfn.CONCAT(AI71:AV71)</f>
        <v>db 066h,066h</v>
      </c>
    </row>
    <row r="72" spans="1:49" x14ac:dyDescent="0.2">
      <c r="A72">
        <v>2</v>
      </c>
      <c r="B72">
        <v>1</v>
      </c>
      <c r="C72">
        <v>2</v>
      </c>
      <c r="D72">
        <v>1</v>
      </c>
      <c r="E72">
        <v>2</v>
      </c>
      <c r="F72">
        <v>1</v>
      </c>
      <c r="G72">
        <v>2</v>
      </c>
      <c r="H72">
        <v>1</v>
      </c>
      <c r="AI72" t="s">
        <v>1</v>
      </c>
      <c r="AJ72" t="str">
        <f>"0"&amp;DEC2HEX(A72*64+B72*16+C72*4+D72)&amp;"h"</f>
        <v>099h</v>
      </c>
      <c r="AK72" t="s">
        <v>0</v>
      </c>
      <c r="AN72" t="str">
        <f>"0"&amp;DEC2HEX(E72*64+F72*16+G72*4+H72)&amp;"h"</f>
        <v>099h</v>
      </c>
      <c r="AW72" t="str">
        <f>_xlfn.CONCAT(AI72:AV72)</f>
        <v>db 099h,099h</v>
      </c>
    </row>
    <row r="73" spans="1:49" x14ac:dyDescent="0.2">
      <c r="A73">
        <v>1</v>
      </c>
      <c r="B73">
        <v>2</v>
      </c>
      <c r="C73">
        <v>1</v>
      </c>
      <c r="D73">
        <v>2</v>
      </c>
      <c r="E73">
        <v>1</v>
      </c>
      <c r="F73">
        <v>2</v>
      </c>
      <c r="G73">
        <v>1</v>
      </c>
      <c r="H73">
        <v>2</v>
      </c>
      <c r="AI73" t="s">
        <v>1</v>
      </c>
      <c r="AJ73" t="str">
        <f>"0"&amp;DEC2HEX(A73*64+B73*16+C73*4+D73)&amp;"h"</f>
        <v>066h</v>
      </c>
      <c r="AK73" t="s">
        <v>0</v>
      </c>
      <c r="AN73" t="str">
        <f>"0"&amp;DEC2HEX(E73*64+F73*16+G73*4+H73)&amp;"h"</f>
        <v>066h</v>
      </c>
      <c r="AW73" t="str">
        <f>_xlfn.CONCAT(AI73:AV73)</f>
        <v>db 066h,066h</v>
      </c>
    </row>
    <row r="74" spans="1:49" x14ac:dyDescent="0.2">
      <c r="AI74" s="1" t="s">
        <v>11</v>
      </c>
    </row>
    <row r="75" spans="1:49" x14ac:dyDescent="0.2">
      <c r="A75">
        <f>IF(A84&gt;0,0,3)</f>
        <v>3</v>
      </c>
      <c r="B75">
        <f t="shared" ref="B75:AH75" si="32">IF(B84&gt;0,0,3)</f>
        <v>3</v>
      </c>
      <c r="C75">
        <f t="shared" si="32"/>
        <v>3</v>
      </c>
      <c r="D75">
        <f t="shared" si="32"/>
        <v>3</v>
      </c>
      <c r="E75">
        <f t="shared" si="32"/>
        <v>3</v>
      </c>
      <c r="F75">
        <f t="shared" si="32"/>
        <v>3</v>
      </c>
      <c r="G75">
        <f t="shared" si="32"/>
        <v>3</v>
      </c>
      <c r="H75">
        <f t="shared" si="32"/>
        <v>3</v>
      </c>
      <c r="I75">
        <f t="shared" si="32"/>
        <v>3</v>
      </c>
      <c r="J75">
        <f t="shared" si="32"/>
        <v>3</v>
      </c>
      <c r="K75">
        <f t="shared" si="32"/>
        <v>3</v>
      </c>
      <c r="L75">
        <f t="shared" si="32"/>
        <v>3</v>
      </c>
      <c r="M75">
        <f t="shared" si="32"/>
        <v>3</v>
      </c>
      <c r="N75">
        <f t="shared" si="32"/>
        <v>3</v>
      </c>
      <c r="O75">
        <f t="shared" si="32"/>
        <v>3</v>
      </c>
      <c r="P75">
        <f t="shared" si="32"/>
        <v>3</v>
      </c>
      <c r="Q75">
        <f t="shared" si="32"/>
        <v>3</v>
      </c>
      <c r="R75">
        <f t="shared" si="32"/>
        <v>3</v>
      </c>
      <c r="S75">
        <f t="shared" si="32"/>
        <v>3</v>
      </c>
      <c r="T75">
        <f t="shared" si="32"/>
        <v>3</v>
      </c>
      <c r="U75">
        <f t="shared" si="32"/>
        <v>3</v>
      </c>
      <c r="V75">
        <f t="shared" si="32"/>
        <v>3</v>
      </c>
      <c r="W75">
        <f t="shared" si="32"/>
        <v>3</v>
      </c>
      <c r="X75">
        <f t="shared" si="32"/>
        <v>3</v>
      </c>
      <c r="Y75">
        <f t="shared" si="32"/>
        <v>3</v>
      </c>
      <c r="Z75">
        <f t="shared" si="32"/>
        <v>3</v>
      </c>
      <c r="AA75">
        <f t="shared" si="32"/>
        <v>3</v>
      </c>
      <c r="AB75">
        <f t="shared" si="32"/>
        <v>3</v>
      </c>
      <c r="AC75">
        <f t="shared" si="32"/>
        <v>3</v>
      </c>
      <c r="AD75">
        <f t="shared" si="32"/>
        <v>3</v>
      </c>
      <c r="AE75">
        <f t="shared" si="32"/>
        <v>3</v>
      </c>
      <c r="AF75">
        <f t="shared" si="32"/>
        <v>3</v>
      </c>
      <c r="AG75">
        <f t="shared" si="32"/>
        <v>3</v>
      </c>
      <c r="AH75">
        <f t="shared" si="32"/>
        <v>3</v>
      </c>
      <c r="AI75" t="s">
        <v>1</v>
      </c>
      <c r="AJ75" t="str">
        <f>"0"&amp;DEC2HEX(A75*64+B75*16+C75*4+D75)&amp;"h"</f>
        <v>0FFh</v>
      </c>
      <c r="AK75" t="s">
        <v>0</v>
      </c>
      <c r="AN75" t="str">
        <f>"0"&amp;DEC2HEX(E75*64+F75*16+G75*4+H75)&amp;"h"</f>
        <v>0FFh</v>
      </c>
      <c r="AW75" t="str">
        <f>_xlfn.CONCAT(AI75:AV75)</f>
        <v>db 0FFh,0FFh</v>
      </c>
    </row>
    <row r="76" spans="1:49" x14ac:dyDescent="0.2">
      <c r="A76">
        <f t="shared" ref="A76:AH76" si="33">IF(A85&gt;0,0,3)</f>
        <v>3</v>
      </c>
      <c r="B76">
        <f t="shared" si="33"/>
        <v>3</v>
      </c>
      <c r="C76">
        <f t="shared" si="33"/>
        <v>3</v>
      </c>
      <c r="D76">
        <f t="shared" si="33"/>
        <v>3</v>
      </c>
      <c r="E76">
        <f t="shared" si="33"/>
        <v>3</v>
      </c>
      <c r="F76">
        <f t="shared" si="33"/>
        <v>3</v>
      </c>
      <c r="G76">
        <f t="shared" si="33"/>
        <v>3</v>
      </c>
      <c r="H76">
        <f t="shared" si="33"/>
        <v>3</v>
      </c>
      <c r="I76">
        <f t="shared" si="33"/>
        <v>3</v>
      </c>
      <c r="J76">
        <f t="shared" si="33"/>
        <v>3</v>
      </c>
      <c r="K76">
        <f t="shared" si="33"/>
        <v>3</v>
      </c>
      <c r="L76">
        <f t="shared" si="33"/>
        <v>3</v>
      </c>
      <c r="M76">
        <f t="shared" si="33"/>
        <v>3</v>
      </c>
      <c r="N76">
        <f t="shared" si="33"/>
        <v>3</v>
      </c>
      <c r="O76">
        <f t="shared" si="33"/>
        <v>3</v>
      </c>
      <c r="P76">
        <f t="shared" si="33"/>
        <v>3</v>
      </c>
      <c r="Q76">
        <f t="shared" si="33"/>
        <v>3</v>
      </c>
      <c r="R76">
        <f t="shared" si="33"/>
        <v>3</v>
      </c>
      <c r="S76">
        <f t="shared" si="33"/>
        <v>3</v>
      </c>
      <c r="T76">
        <f t="shared" si="33"/>
        <v>3</v>
      </c>
      <c r="U76">
        <f t="shared" si="33"/>
        <v>3</v>
      </c>
      <c r="V76">
        <f t="shared" si="33"/>
        <v>3</v>
      </c>
      <c r="W76">
        <f t="shared" si="33"/>
        <v>3</v>
      </c>
      <c r="X76">
        <f t="shared" si="33"/>
        <v>3</v>
      </c>
      <c r="Y76">
        <f t="shared" si="33"/>
        <v>3</v>
      </c>
      <c r="Z76">
        <f t="shared" si="33"/>
        <v>3</v>
      </c>
      <c r="AA76">
        <f t="shared" si="33"/>
        <v>3</v>
      </c>
      <c r="AB76">
        <f t="shared" si="33"/>
        <v>3</v>
      </c>
      <c r="AC76">
        <f t="shared" si="33"/>
        <v>3</v>
      </c>
      <c r="AD76">
        <f t="shared" si="33"/>
        <v>3</v>
      </c>
      <c r="AE76">
        <f t="shared" si="33"/>
        <v>3</v>
      </c>
      <c r="AF76">
        <f t="shared" si="33"/>
        <v>3</v>
      </c>
      <c r="AG76">
        <f t="shared" si="33"/>
        <v>3</v>
      </c>
      <c r="AH76">
        <f t="shared" si="33"/>
        <v>3</v>
      </c>
      <c r="AI76" t="s">
        <v>1</v>
      </c>
      <c r="AJ76" t="str">
        <f>"0"&amp;DEC2HEX(A76*64+B76*16+C76*4+D76)&amp;"h"</f>
        <v>0FFh</v>
      </c>
      <c r="AK76" t="s">
        <v>0</v>
      </c>
      <c r="AN76" t="str">
        <f>"0"&amp;DEC2HEX(E76*64+F76*16+G76*4+H76)&amp;"h"</f>
        <v>0FFh</v>
      </c>
      <c r="AW76" t="str">
        <f>_xlfn.CONCAT(AI76:AV76)</f>
        <v>db 0FFh,0FFh</v>
      </c>
    </row>
    <row r="77" spans="1:49" x14ac:dyDescent="0.2">
      <c r="A77">
        <f t="shared" ref="A77:AH77" si="34">IF(A86&gt;0,0,3)</f>
        <v>3</v>
      </c>
      <c r="B77">
        <f t="shared" si="34"/>
        <v>3</v>
      </c>
      <c r="C77">
        <f t="shared" si="34"/>
        <v>3</v>
      </c>
      <c r="D77">
        <f t="shared" si="34"/>
        <v>3</v>
      </c>
      <c r="E77">
        <f t="shared" si="34"/>
        <v>3</v>
      </c>
      <c r="F77">
        <f t="shared" si="34"/>
        <v>3</v>
      </c>
      <c r="G77">
        <f t="shared" si="34"/>
        <v>3</v>
      </c>
      <c r="H77">
        <f t="shared" si="34"/>
        <v>3</v>
      </c>
      <c r="I77">
        <f t="shared" si="34"/>
        <v>3</v>
      </c>
      <c r="J77">
        <f t="shared" si="34"/>
        <v>3</v>
      </c>
      <c r="K77">
        <f t="shared" si="34"/>
        <v>3</v>
      </c>
      <c r="L77">
        <f t="shared" si="34"/>
        <v>3</v>
      </c>
      <c r="M77">
        <f t="shared" si="34"/>
        <v>3</v>
      </c>
      <c r="N77">
        <f t="shared" si="34"/>
        <v>3</v>
      </c>
      <c r="O77">
        <f t="shared" si="34"/>
        <v>3</v>
      </c>
      <c r="P77">
        <f t="shared" si="34"/>
        <v>3</v>
      </c>
      <c r="Q77">
        <f t="shared" si="34"/>
        <v>3</v>
      </c>
      <c r="R77">
        <f t="shared" si="34"/>
        <v>3</v>
      </c>
      <c r="S77">
        <f t="shared" si="34"/>
        <v>3</v>
      </c>
      <c r="T77">
        <f t="shared" si="34"/>
        <v>3</v>
      </c>
      <c r="U77">
        <f t="shared" si="34"/>
        <v>3</v>
      </c>
      <c r="V77">
        <f t="shared" si="34"/>
        <v>3</v>
      </c>
      <c r="W77">
        <f t="shared" si="34"/>
        <v>3</v>
      </c>
      <c r="X77">
        <f t="shared" si="34"/>
        <v>3</v>
      </c>
      <c r="Y77">
        <f t="shared" si="34"/>
        <v>3</v>
      </c>
      <c r="Z77">
        <f t="shared" si="34"/>
        <v>3</v>
      </c>
      <c r="AA77">
        <f t="shared" si="34"/>
        <v>3</v>
      </c>
      <c r="AB77">
        <f t="shared" si="34"/>
        <v>3</v>
      </c>
      <c r="AC77">
        <f t="shared" si="34"/>
        <v>3</v>
      </c>
      <c r="AD77">
        <f t="shared" si="34"/>
        <v>3</v>
      </c>
      <c r="AE77">
        <f t="shared" si="34"/>
        <v>3</v>
      </c>
      <c r="AF77">
        <f t="shared" si="34"/>
        <v>3</v>
      </c>
      <c r="AG77">
        <f t="shared" si="34"/>
        <v>3</v>
      </c>
      <c r="AH77">
        <f t="shared" si="34"/>
        <v>3</v>
      </c>
      <c r="AI77" t="s">
        <v>1</v>
      </c>
      <c r="AJ77" t="str">
        <f>"0"&amp;DEC2HEX(A77*64+B77*16+C77*4+D77)&amp;"h"</f>
        <v>0FFh</v>
      </c>
      <c r="AK77" t="s">
        <v>0</v>
      </c>
      <c r="AN77" t="str">
        <f>"0"&amp;DEC2HEX(E77*64+F77*16+G77*4+H77)&amp;"h"</f>
        <v>0FFh</v>
      </c>
      <c r="AW77" t="str">
        <f>_xlfn.CONCAT(AI77:AV77)</f>
        <v>db 0FFh,0FFh</v>
      </c>
    </row>
    <row r="78" spans="1:49" x14ac:dyDescent="0.2">
      <c r="A78">
        <f t="shared" ref="A78:AH78" si="35">IF(A87&gt;0,0,3)</f>
        <v>3</v>
      </c>
      <c r="B78">
        <f t="shared" si="35"/>
        <v>3</v>
      </c>
      <c r="C78">
        <f t="shared" si="35"/>
        <v>3</v>
      </c>
      <c r="D78">
        <f t="shared" si="35"/>
        <v>3</v>
      </c>
      <c r="E78">
        <f t="shared" si="35"/>
        <v>0</v>
      </c>
      <c r="F78">
        <f t="shared" si="35"/>
        <v>3</v>
      </c>
      <c r="G78">
        <f t="shared" si="35"/>
        <v>3</v>
      </c>
      <c r="H78">
        <f t="shared" si="35"/>
        <v>3</v>
      </c>
      <c r="I78">
        <f t="shared" si="35"/>
        <v>3</v>
      </c>
      <c r="J78">
        <f t="shared" si="35"/>
        <v>3</v>
      </c>
      <c r="K78">
        <f t="shared" si="35"/>
        <v>3</v>
      </c>
      <c r="L78">
        <f t="shared" si="35"/>
        <v>3</v>
      </c>
      <c r="M78">
        <f t="shared" si="35"/>
        <v>3</v>
      </c>
      <c r="N78">
        <f t="shared" si="35"/>
        <v>3</v>
      </c>
      <c r="O78">
        <f t="shared" si="35"/>
        <v>3</v>
      </c>
      <c r="P78">
        <f t="shared" si="35"/>
        <v>3</v>
      </c>
      <c r="Q78">
        <f t="shared" si="35"/>
        <v>3</v>
      </c>
      <c r="R78">
        <f t="shared" si="35"/>
        <v>3</v>
      </c>
      <c r="S78">
        <f t="shared" si="35"/>
        <v>3</v>
      </c>
      <c r="T78">
        <f t="shared" si="35"/>
        <v>3</v>
      </c>
      <c r="U78">
        <f t="shared" si="35"/>
        <v>3</v>
      </c>
      <c r="V78">
        <f t="shared" si="35"/>
        <v>3</v>
      </c>
      <c r="W78">
        <f t="shared" si="35"/>
        <v>3</v>
      </c>
      <c r="X78">
        <f t="shared" si="35"/>
        <v>3</v>
      </c>
      <c r="Y78">
        <f t="shared" si="35"/>
        <v>3</v>
      </c>
      <c r="Z78">
        <f t="shared" si="35"/>
        <v>3</v>
      </c>
      <c r="AA78">
        <f t="shared" si="35"/>
        <v>3</v>
      </c>
      <c r="AB78">
        <f t="shared" si="35"/>
        <v>3</v>
      </c>
      <c r="AC78">
        <f t="shared" si="35"/>
        <v>3</v>
      </c>
      <c r="AD78">
        <f t="shared" si="35"/>
        <v>3</v>
      </c>
      <c r="AE78">
        <f t="shared" si="35"/>
        <v>3</v>
      </c>
      <c r="AF78">
        <f t="shared" si="35"/>
        <v>3</v>
      </c>
      <c r="AG78">
        <f t="shared" si="35"/>
        <v>3</v>
      </c>
      <c r="AH78">
        <f t="shared" si="35"/>
        <v>3</v>
      </c>
      <c r="AI78" t="s">
        <v>1</v>
      </c>
      <c r="AJ78" t="str">
        <f>"0"&amp;DEC2HEX(A78*64+B78*16+C78*4+D78)&amp;"h"</f>
        <v>0FFh</v>
      </c>
      <c r="AK78" t="s">
        <v>0</v>
      </c>
      <c r="AN78" t="str">
        <f>"0"&amp;DEC2HEX(E78*64+F78*16+G78*4+H78)&amp;"h"</f>
        <v>03Fh</v>
      </c>
      <c r="AW78" t="str">
        <f>_xlfn.CONCAT(AI78:AV78)</f>
        <v>db 0FFh,03Fh</v>
      </c>
    </row>
    <row r="79" spans="1:49" x14ac:dyDescent="0.2">
      <c r="A79">
        <f t="shared" ref="A79:AH79" si="36">IF(A88&gt;0,0,3)</f>
        <v>3</v>
      </c>
      <c r="B79">
        <f t="shared" si="36"/>
        <v>3</v>
      </c>
      <c r="C79">
        <f t="shared" si="36"/>
        <v>3</v>
      </c>
      <c r="D79">
        <f t="shared" si="36"/>
        <v>0</v>
      </c>
      <c r="E79">
        <f t="shared" si="36"/>
        <v>0</v>
      </c>
      <c r="F79">
        <f t="shared" si="36"/>
        <v>3</v>
      </c>
      <c r="G79">
        <f t="shared" si="36"/>
        <v>3</v>
      </c>
      <c r="H79">
        <f t="shared" si="36"/>
        <v>3</v>
      </c>
      <c r="I79">
        <f t="shared" si="36"/>
        <v>3</v>
      </c>
      <c r="J79">
        <f t="shared" si="36"/>
        <v>3</v>
      </c>
      <c r="K79">
        <f t="shared" si="36"/>
        <v>3</v>
      </c>
      <c r="L79">
        <f t="shared" si="36"/>
        <v>3</v>
      </c>
      <c r="M79">
        <f t="shared" si="36"/>
        <v>3</v>
      </c>
      <c r="N79">
        <f t="shared" si="36"/>
        <v>3</v>
      </c>
      <c r="O79">
        <f t="shared" si="36"/>
        <v>3</v>
      </c>
      <c r="P79">
        <f t="shared" si="36"/>
        <v>3</v>
      </c>
      <c r="Q79">
        <f t="shared" si="36"/>
        <v>3</v>
      </c>
      <c r="R79">
        <f t="shared" si="36"/>
        <v>3</v>
      </c>
      <c r="S79">
        <f t="shared" si="36"/>
        <v>3</v>
      </c>
      <c r="T79">
        <f t="shared" si="36"/>
        <v>3</v>
      </c>
      <c r="U79">
        <f t="shared" si="36"/>
        <v>3</v>
      </c>
      <c r="V79">
        <f t="shared" si="36"/>
        <v>3</v>
      </c>
      <c r="W79">
        <f t="shared" si="36"/>
        <v>3</v>
      </c>
      <c r="X79">
        <f t="shared" si="36"/>
        <v>3</v>
      </c>
      <c r="Y79">
        <f t="shared" si="36"/>
        <v>3</v>
      </c>
      <c r="Z79">
        <f t="shared" si="36"/>
        <v>3</v>
      </c>
      <c r="AA79">
        <f t="shared" si="36"/>
        <v>3</v>
      </c>
      <c r="AB79">
        <f t="shared" si="36"/>
        <v>3</v>
      </c>
      <c r="AC79">
        <f t="shared" si="36"/>
        <v>3</v>
      </c>
      <c r="AD79">
        <f t="shared" si="36"/>
        <v>3</v>
      </c>
      <c r="AE79">
        <f t="shared" si="36"/>
        <v>3</v>
      </c>
      <c r="AF79">
        <f t="shared" si="36"/>
        <v>3</v>
      </c>
      <c r="AG79">
        <f t="shared" si="36"/>
        <v>3</v>
      </c>
      <c r="AH79">
        <f t="shared" si="36"/>
        <v>3</v>
      </c>
      <c r="AI79" t="s">
        <v>1</v>
      </c>
      <c r="AJ79" t="str">
        <f>"0"&amp;DEC2HEX(A79*64+B79*16+C79*4+D79)&amp;"h"</f>
        <v>0FCh</v>
      </c>
      <c r="AK79" t="s">
        <v>0</v>
      </c>
      <c r="AN79" t="str">
        <f>"0"&amp;DEC2HEX(E79*64+F79*16+G79*4+H79)&amp;"h"</f>
        <v>03Fh</v>
      </c>
      <c r="AW79" t="str">
        <f>_xlfn.CONCAT(AI79:AV79)</f>
        <v>db 0FCh,03Fh</v>
      </c>
    </row>
    <row r="80" spans="1:49" x14ac:dyDescent="0.2">
      <c r="A80">
        <f t="shared" ref="A80:AH80" si="37">IF(A89&gt;0,0,3)</f>
        <v>3</v>
      </c>
      <c r="B80">
        <f t="shared" si="37"/>
        <v>3</v>
      </c>
      <c r="C80">
        <f t="shared" si="37"/>
        <v>3</v>
      </c>
      <c r="D80">
        <f t="shared" si="37"/>
        <v>3</v>
      </c>
      <c r="E80">
        <f t="shared" si="37"/>
        <v>3</v>
      </c>
      <c r="F80">
        <f t="shared" si="37"/>
        <v>0</v>
      </c>
      <c r="G80">
        <f t="shared" si="37"/>
        <v>3</v>
      </c>
      <c r="H80">
        <f t="shared" si="37"/>
        <v>3</v>
      </c>
      <c r="I80">
        <f t="shared" si="37"/>
        <v>3</v>
      </c>
      <c r="J80">
        <f t="shared" si="37"/>
        <v>3</v>
      </c>
      <c r="K80">
        <f t="shared" si="37"/>
        <v>3</v>
      </c>
      <c r="L80">
        <f t="shared" si="37"/>
        <v>3</v>
      </c>
      <c r="M80">
        <f t="shared" si="37"/>
        <v>3</v>
      </c>
      <c r="N80">
        <f t="shared" si="37"/>
        <v>3</v>
      </c>
      <c r="O80">
        <f t="shared" si="37"/>
        <v>3</v>
      </c>
      <c r="P80">
        <f t="shared" si="37"/>
        <v>3</v>
      </c>
      <c r="Q80">
        <f t="shared" si="37"/>
        <v>3</v>
      </c>
      <c r="R80">
        <f t="shared" si="37"/>
        <v>3</v>
      </c>
      <c r="S80">
        <f t="shared" si="37"/>
        <v>3</v>
      </c>
      <c r="T80">
        <f t="shared" si="37"/>
        <v>3</v>
      </c>
      <c r="U80">
        <f t="shared" si="37"/>
        <v>3</v>
      </c>
      <c r="V80">
        <f t="shared" si="37"/>
        <v>3</v>
      </c>
      <c r="W80">
        <f t="shared" si="37"/>
        <v>3</v>
      </c>
      <c r="X80">
        <f t="shared" si="37"/>
        <v>3</v>
      </c>
      <c r="Y80">
        <f t="shared" si="37"/>
        <v>3</v>
      </c>
      <c r="Z80">
        <f t="shared" si="37"/>
        <v>3</v>
      </c>
      <c r="AA80">
        <f t="shared" si="37"/>
        <v>3</v>
      </c>
      <c r="AB80">
        <f t="shared" si="37"/>
        <v>3</v>
      </c>
      <c r="AC80">
        <f t="shared" si="37"/>
        <v>3</v>
      </c>
      <c r="AD80">
        <f t="shared" si="37"/>
        <v>3</v>
      </c>
      <c r="AE80">
        <f t="shared" si="37"/>
        <v>3</v>
      </c>
      <c r="AF80">
        <f t="shared" si="37"/>
        <v>3</v>
      </c>
      <c r="AG80">
        <f t="shared" si="37"/>
        <v>3</v>
      </c>
      <c r="AH80">
        <f t="shared" si="37"/>
        <v>3</v>
      </c>
      <c r="AI80" t="s">
        <v>1</v>
      </c>
      <c r="AJ80" t="str">
        <f>"0"&amp;DEC2HEX(A80*64+B80*16+C80*4+D80)&amp;"h"</f>
        <v>0FFh</v>
      </c>
      <c r="AK80" t="s">
        <v>0</v>
      </c>
      <c r="AN80" t="str">
        <f>"0"&amp;DEC2HEX(E80*64+F80*16+G80*4+H80)&amp;"h"</f>
        <v>0CFh</v>
      </c>
      <c r="AW80" t="str">
        <f>_xlfn.CONCAT(AI80:AV80)</f>
        <v>db 0FFh,0CFh</v>
      </c>
    </row>
    <row r="81" spans="1:49" x14ac:dyDescent="0.2">
      <c r="A81">
        <f t="shared" ref="A81:AH81" si="38">IF(A90&gt;0,0,3)</f>
        <v>3</v>
      </c>
      <c r="B81">
        <f t="shared" si="38"/>
        <v>3</v>
      </c>
      <c r="C81">
        <f t="shared" si="38"/>
        <v>3</v>
      </c>
      <c r="D81">
        <f t="shared" si="38"/>
        <v>3</v>
      </c>
      <c r="E81">
        <f t="shared" si="38"/>
        <v>3</v>
      </c>
      <c r="F81">
        <f t="shared" si="38"/>
        <v>3</v>
      </c>
      <c r="G81">
        <f t="shared" si="38"/>
        <v>3</v>
      </c>
      <c r="H81">
        <f t="shared" si="38"/>
        <v>3</v>
      </c>
      <c r="I81">
        <f t="shared" si="38"/>
        <v>3</v>
      </c>
      <c r="J81">
        <f t="shared" si="38"/>
        <v>3</v>
      </c>
      <c r="K81">
        <f t="shared" si="38"/>
        <v>3</v>
      </c>
      <c r="L81">
        <f t="shared" si="38"/>
        <v>3</v>
      </c>
      <c r="M81">
        <f t="shared" si="38"/>
        <v>3</v>
      </c>
      <c r="N81">
        <f t="shared" si="38"/>
        <v>3</v>
      </c>
      <c r="O81">
        <f t="shared" si="38"/>
        <v>3</v>
      </c>
      <c r="P81">
        <f t="shared" si="38"/>
        <v>3</v>
      </c>
      <c r="Q81">
        <f t="shared" si="38"/>
        <v>3</v>
      </c>
      <c r="R81">
        <f t="shared" si="38"/>
        <v>3</v>
      </c>
      <c r="S81">
        <f t="shared" si="38"/>
        <v>3</v>
      </c>
      <c r="T81">
        <f t="shared" si="38"/>
        <v>3</v>
      </c>
      <c r="U81">
        <f t="shared" si="38"/>
        <v>3</v>
      </c>
      <c r="V81">
        <f t="shared" si="38"/>
        <v>3</v>
      </c>
      <c r="W81">
        <f t="shared" si="38"/>
        <v>3</v>
      </c>
      <c r="X81">
        <f t="shared" si="38"/>
        <v>3</v>
      </c>
      <c r="Y81">
        <f t="shared" si="38"/>
        <v>3</v>
      </c>
      <c r="Z81">
        <f t="shared" si="38"/>
        <v>3</v>
      </c>
      <c r="AA81">
        <f t="shared" si="38"/>
        <v>3</v>
      </c>
      <c r="AB81">
        <f t="shared" si="38"/>
        <v>3</v>
      </c>
      <c r="AC81">
        <f t="shared" si="38"/>
        <v>3</v>
      </c>
      <c r="AD81">
        <f t="shared" si="38"/>
        <v>3</v>
      </c>
      <c r="AE81">
        <f t="shared" si="38"/>
        <v>3</v>
      </c>
      <c r="AF81">
        <f t="shared" si="38"/>
        <v>3</v>
      </c>
      <c r="AG81">
        <f t="shared" si="38"/>
        <v>3</v>
      </c>
      <c r="AH81">
        <f t="shared" si="38"/>
        <v>3</v>
      </c>
      <c r="AI81" t="s">
        <v>1</v>
      </c>
      <c r="AJ81" t="str">
        <f>"0"&amp;DEC2HEX(A81*64+B81*16+C81*4+D81)&amp;"h"</f>
        <v>0FFh</v>
      </c>
      <c r="AK81" t="s">
        <v>0</v>
      </c>
      <c r="AN81" t="str">
        <f>"0"&amp;DEC2HEX(E81*64+F81*16+G81*4+H81)&amp;"h"</f>
        <v>0FFh</v>
      </c>
      <c r="AW81" t="str">
        <f>_xlfn.CONCAT(AI81:AV81)</f>
        <v>db 0FFh,0FFh</v>
      </c>
    </row>
    <row r="82" spans="1:49" x14ac:dyDescent="0.2">
      <c r="A82">
        <f t="shared" ref="A82:AH82" si="39">IF(A91&gt;0,0,3)</f>
        <v>3</v>
      </c>
      <c r="B82">
        <f t="shared" si="39"/>
        <v>3</v>
      </c>
      <c r="C82">
        <f t="shared" si="39"/>
        <v>3</v>
      </c>
      <c r="D82">
        <f t="shared" si="39"/>
        <v>3</v>
      </c>
      <c r="E82">
        <f t="shared" si="39"/>
        <v>3</v>
      </c>
      <c r="F82">
        <f t="shared" si="39"/>
        <v>3</v>
      </c>
      <c r="G82">
        <f t="shared" si="39"/>
        <v>3</v>
      </c>
      <c r="H82">
        <f t="shared" si="39"/>
        <v>3</v>
      </c>
      <c r="I82">
        <f t="shared" si="39"/>
        <v>3</v>
      </c>
      <c r="J82">
        <f t="shared" si="39"/>
        <v>3</v>
      </c>
      <c r="K82">
        <f t="shared" si="39"/>
        <v>3</v>
      </c>
      <c r="L82">
        <f t="shared" si="39"/>
        <v>3</v>
      </c>
      <c r="M82">
        <f t="shared" si="39"/>
        <v>3</v>
      </c>
      <c r="N82">
        <f t="shared" si="39"/>
        <v>3</v>
      </c>
      <c r="O82">
        <f t="shared" si="39"/>
        <v>3</v>
      </c>
      <c r="P82">
        <f t="shared" si="39"/>
        <v>3</v>
      </c>
      <c r="Q82">
        <f t="shared" si="39"/>
        <v>3</v>
      </c>
      <c r="R82">
        <f t="shared" si="39"/>
        <v>3</v>
      </c>
      <c r="S82">
        <f t="shared" si="39"/>
        <v>3</v>
      </c>
      <c r="T82">
        <f t="shared" si="39"/>
        <v>3</v>
      </c>
      <c r="U82">
        <f t="shared" si="39"/>
        <v>3</v>
      </c>
      <c r="V82">
        <f t="shared" si="39"/>
        <v>3</v>
      </c>
      <c r="W82">
        <f t="shared" si="39"/>
        <v>3</v>
      </c>
      <c r="X82">
        <f t="shared" si="39"/>
        <v>3</v>
      </c>
      <c r="Y82">
        <f t="shared" si="39"/>
        <v>3</v>
      </c>
      <c r="Z82">
        <f t="shared" si="39"/>
        <v>3</v>
      </c>
      <c r="AA82">
        <f t="shared" si="39"/>
        <v>3</v>
      </c>
      <c r="AB82">
        <f t="shared" si="39"/>
        <v>3</v>
      </c>
      <c r="AC82">
        <f t="shared" si="39"/>
        <v>3</v>
      </c>
      <c r="AD82">
        <f t="shared" si="39"/>
        <v>3</v>
      </c>
      <c r="AE82">
        <f t="shared" si="39"/>
        <v>3</v>
      </c>
      <c r="AF82">
        <f t="shared" si="39"/>
        <v>3</v>
      </c>
      <c r="AG82">
        <f t="shared" si="39"/>
        <v>3</v>
      </c>
      <c r="AH82">
        <f t="shared" si="39"/>
        <v>3</v>
      </c>
      <c r="AI82" t="s">
        <v>1</v>
      </c>
      <c r="AJ82" t="str">
        <f>"0"&amp;DEC2HEX(A82*64+B82*16+C82*4+D82)&amp;"h"</f>
        <v>0FFh</v>
      </c>
      <c r="AK82" t="s">
        <v>0</v>
      </c>
      <c r="AN82" t="str">
        <f>"0"&amp;DEC2HEX(E82*64+F82*16+G82*4+H82)&amp;"h"</f>
        <v>0FFh</v>
      </c>
      <c r="AW82" t="str">
        <f>_xlfn.CONCAT(AI82:AV82)</f>
        <v>db 0FFh,0FFh</v>
      </c>
    </row>
    <row r="83" spans="1:49" x14ac:dyDescent="0.2">
      <c r="A83">
        <v>3</v>
      </c>
      <c r="E83">
        <v>3</v>
      </c>
      <c r="I83">
        <v>3</v>
      </c>
      <c r="M83">
        <v>3</v>
      </c>
      <c r="Q83">
        <v>3</v>
      </c>
    </row>
    <row r="84" spans="1:49" x14ac:dyDescent="0.2">
      <c r="AI84" t="s">
        <v>1</v>
      </c>
      <c r="AJ84" t="str">
        <f>"0"&amp;DEC2HEX(A84*64+B84*16+C84*4+D84)&amp;"h"</f>
        <v>00h</v>
      </c>
      <c r="AK84" t="s">
        <v>0</v>
      </c>
      <c r="AN84" t="str">
        <f>"0"&amp;DEC2HEX(E84*64+F84*16+G84*4+H84)&amp;"h"</f>
        <v>00h</v>
      </c>
      <c r="AW84" t="str">
        <f>_xlfn.CONCAT(AI84:AV84)</f>
        <v>db 00h,00h</v>
      </c>
    </row>
    <row r="85" spans="1:49" x14ac:dyDescent="0.2">
      <c r="AI85" t="s">
        <v>1</v>
      </c>
      <c r="AJ85" t="str">
        <f>"0"&amp;DEC2HEX(A85*64+B85*16+C85*4+D85)&amp;"h"</f>
        <v>00h</v>
      </c>
      <c r="AK85" t="s">
        <v>0</v>
      </c>
      <c r="AN85" t="str">
        <f>"0"&amp;DEC2HEX(E85*64+F85*16+G85*4+H85)&amp;"h"</f>
        <v>00h</v>
      </c>
      <c r="AW85" t="str">
        <f>_xlfn.CONCAT(AI85:AV85)</f>
        <v>db 00h,00h</v>
      </c>
    </row>
    <row r="86" spans="1:49" x14ac:dyDescent="0.2">
      <c r="AI86" t="s">
        <v>1</v>
      </c>
      <c r="AJ86" t="str">
        <f>"0"&amp;DEC2HEX(A86*64+B86*16+C86*4+D86)&amp;"h"</f>
        <v>00h</v>
      </c>
      <c r="AK86" t="s">
        <v>0</v>
      </c>
      <c r="AN86" t="str">
        <f>"0"&amp;DEC2HEX(E86*64+F86*16+G86*4+H86)&amp;"h"</f>
        <v>00h</v>
      </c>
      <c r="AW86" t="str">
        <f>_xlfn.CONCAT(AI86:AV86)</f>
        <v>db 00h,00h</v>
      </c>
    </row>
    <row r="87" spans="1:49" x14ac:dyDescent="0.2">
      <c r="E87">
        <v>1</v>
      </c>
      <c r="AI87" t="s">
        <v>1</v>
      </c>
      <c r="AJ87" t="str">
        <f>"0"&amp;DEC2HEX(A87*64+B87*16+C87*4+D87)&amp;"h"</f>
        <v>00h</v>
      </c>
      <c r="AK87" t="s">
        <v>0</v>
      </c>
      <c r="AN87" t="str">
        <f>"0"&amp;DEC2HEX(E87*64+F87*16+G87*4+H87)&amp;"h"</f>
        <v>040h</v>
      </c>
      <c r="AW87" t="str">
        <f>_xlfn.CONCAT(AI87:AV87)</f>
        <v>db 00h,040h</v>
      </c>
    </row>
    <row r="88" spans="1:49" x14ac:dyDescent="0.2">
      <c r="D88">
        <v>1</v>
      </c>
      <c r="E88">
        <v>2</v>
      </c>
      <c r="AI88" t="s">
        <v>1</v>
      </c>
      <c r="AJ88" t="str">
        <f>"0"&amp;DEC2HEX(A88*64+B88*16+C88*4+D88)&amp;"h"</f>
        <v>01h</v>
      </c>
      <c r="AK88" t="s">
        <v>0</v>
      </c>
      <c r="AN88" t="str">
        <f>"0"&amp;DEC2HEX(E88*64+F88*16+G88*4+H88)&amp;"h"</f>
        <v>080h</v>
      </c>
      <c r="AW88" t="str">
        <f>_xlfn.CONCAT(AI88:AV88)</f>
        <v>db 01h,080h</v>
      </c>
    </row>
    <row r="89" spans="1:49" x14ac:dyDescent="0.2">
      <c r="F89">
        <v>1</v>
      </c>
      <c r="AI89" t="s">
        <v>1</v>
      </c>
      <c r="AJ89" t="str">
        <f>"0"&amp;DEC2HEX(A89*64+B89*16+C89*4+D89)&amp;"h"</f>
        <v>00h</v>
      </c>
      <c r="AK89" t="s">
        <v>0</v>
      </c>
      <c r="AN89" t="str">
        <f>"0"&amp;DEC2HEX(E89*64+F89*16+G89*4+H89)&amp;"h"</f>
        <v>010h</v>
      </c>
      <c r="AW89" t="str">
        <f>_xlfn.CONCAT(AI89:AV89)</f>
        <v>db 00h,010h</v>
      </c>
    </row>
    <row r="90" spans="1:49" x14ac:dyDescent="0.2">
      <c r="AI90" t="s">
        <v>1</v>
      </c>
      <c r="AJ90" t="str">
        <f>"0"&amp;DEC2HEX(A90*64+B90*16+C90*4+D90)&amp;"h"</f>
        <v>00h</v>
      </c>
      <c r="AK90" t="s">
        <v>0</v>
      </c>
      <c r="AN90" t="str">
        <f>"0"&amp;DEC2HEX(E90*64+F90*16+G90*4+H90)&amp;"h"</f>
        <v>00h</v>
      </c>
      <c r="AW90" t="str">
        <f>_xlfn.CONCAT(AI90:AV90)</f>
        <v>db 00h,00h</v>
      </c>
    </row>
    <row r="91" spans="1:49" x14ac:dyDescent="0.2">
      <c r="AI91" t="s">
        <v>1</v>
      </c>
      <c r="AJ91" t="str">
        <f>"0"&amp;DEC2HEX(A91*64+B91*16+C91*4+D91)&amp;"h"</f>
        <v>00h</v>
      </c>
      <c r="AK91" t="s">
        <v>0</v>
      </c>
      <c r="AN91" t="str">
        <f>"0"&amp;DEC2HEX(E91*64+F91*16+G91*4+H91)&amp;"h"</f>
        <v>00h</v>
      </c>
      <c r="AW91" t="str">
        <f>_xlfn.CONCAT(AI91:AV91)</f>
        <v>db 00h,00h</v>
      </c>
    </row>
    <row r="92" spans="1:49" x14ac:dyDescent="0.2">
      <c r="AI92" s="1" t="s">
        <v>12</v>
      </c>
    </row>
    <row r="93" spans="1:49" x14ac:dyDescent="0.2">
      <c r="A93">
        <f>IF(A102&gt;0,0,3)</f>
        <v>3</v>
      </c>
      <c r="B93">
        <f t="shared" ref="B93:AH93" si="40">IF(B102&gt;0,0,3)</f>
        <v>3</v>
      </c>
      <c r="C93">
        <f t="shared" si="40"/>
        <v>3</v>
      </c>
      <c r="D93">
        <f t="shared" si="40"/>
        <v>3</v>
      </c>
      <c r="E93">
        <f t="shared" si="40"/>
        <v>3</v>
      </c>
      <c r="F93">
        <f t="shared" si="40"/>
        <v>3</v>
      </c>
      <c r="G93">
        <f t="shared" si="40"/>
        <v>3</v>
      </c>
      <c r="H93">
        <f t="shared" si="40"/>
        <v>3</v>
      </c>
      <c r="I93">
        <f t="shared" si="40"/>
        <v>3</v>
      </c>
      <c r="J93">
        <f t="shared" si="40"/>
        <v>3</v>
      </c>
      <c r="K93">
        <f t="shared" si="40"/>
        <v>3</v>
      </c>
      <c r="L93">
        <f t="shared" si="40"/>
        <v>3</v>
      </c>
      <c r="M93">
        <f t="shared" si="40"/>
        <v>3</v>
      </c>
      <c r="N93">
        <f t="shared" si="40"/>
        <v>3</v>
      </c>
      <c r="O93">
        <f t="shared" si="40"/>
        <v>3</v>
      </c>
      <c r="P93">
        <f t="shared" si="40"/>
        <v>3</v>
      </c>
      <c r="Q93">
        <f t="shared" si="40"/>
        <v>3</v>
      </c>
      <c r="R93">
        <f t="shared" si="40"/>
        <v>3</v>
      </c>
      <c r="S93">
        <f t="shared" si="40"/>
        <v>3</v>
      </c>
      <c r="T93">
        <f t="shared" si="40"/>
        <v>3</v>
      </c>
      <c r="U93">
        <f t="shared" si="40"/>
        <v>3</v>
      </c>
      <c r="V93">
        <f t="shared" si="40"/>
        <v>3</v>
      </c>
      <c r="W93">
        <f t="shared" si="40"/>
        <v>3</v>
      </c>
      <c r="X93">
        <f t="shared" si="40"/>
        <v>3</v>
      </c>
      <c r="Y93">
        <f t="shared" si="40"/>
        <v>3</v>
      </c>
      <c r="Z93">
        <f t="shared" si="40"/>
        <v>3</v>
      </c>
      <c r="AA93">
        <f t="shared" si="40"/>
        <v>3</v>
      </c>
      <c r="AB93">
        <f t="shared" si="40"/>
        <v>3</v>
      </c>
      <c r="AC93">
        <f t="shared" si="40"/>
        <v>3</v>
      </c>
      <c r="AD93">
        <f t="shared" si="40"/>
        <v>3</v>
      </c>
      <c r="AE93">
        <f t="shared" si="40"/>
        <v>3</v>
      </c>
      <c r="AF93">
        <f t="shared" si="40"/>
        <v>3</v>
      </c>
      <c r="AG93">
        <f t="shared" si="40"/>
        <v>3</v>
      </c>
      <c r="AH93">
        <f t="shared" si="40"/>
        <v>3</v>
      </c>
      <c r="AI93" t="s">
        <v>1</v>
      </c>
      <c r="AJ93" t="str">
        <f>"0"&amp;DEC2HEX(A93*64+B93*16+C93*4+D93)&amp;"h"</f>
        <v>0FFh</v>
      </c>
      <c r="AK93" t="s">
        <v>0</v>
      </c>
      <c r="AN93" t="str">
        <f>"0"&amp;DEC2HEX(E93*64+F93*16+G93*4+H93)&amp;"h"</f>
        <v>0FFh</v>
      </c>
      <c r="AW93" t="str">
        <f>_xlfn.CONCAT(AI93:AV93)</f>
        <v>db 0FFh,0FFh</v>
      </c>
    </row>
    <row r="94" spans="1:49" x14ac:dyDescent="0.2">
      <c r="A94">
        <f t="shared" ref="A94:AH94" si="41">IF(A103&gt;0,0,3)</f>
        <v>3</v>
      </c>
      <c r="B94">
        <f t="shared" si="41"/>
        <v>3</v>
      </c>
      <c r="C94">
        <f t="shared" si="41"/>
        <v>3</v>
      </c>
      <c r="D94">
        <f t="shared" si="41"/>
        <v>0</v>
      </c>
      <c r="E94">
        <f t="shared" si="41"/>
        <v>3</v>
      </c>
      <c r="F94">
        <f t="shared" si="41"/>
        <v>0</v>
      </c>
      <c r="G94">
        <f t="shared" si="41"/>
        <v>3</v>
      </c>
      <c r="H94">
        <f t="shared" si="41"/>
        <v>3</v>
      </c>
      <c r="I94">
        <f t="shared" si="41"/>
        <v>3</v>
      </c>
      <c r="J94">
        <f t="shared" si="41"/>
        <v>3</v>
      </c>
      <c r="K94">
        <f t="shared" si="41"/>
        <v>3</v>
      </c>
      <c r="L94">
        <f t="shared" si="41"/>
        <v>3</v>
      </c>
      <c r="M94">
        <f t="shared" si="41"/>
        <v>3</v>
      </c>
      <c r="N94">
        <f t="shared" si="41"/>
        <v>3</v>
      </c>
      <c r="O94">
        <f t="shared" si="41"/>
        <v>3</v>
      </c>
      <c r="P94">
        <f t="shared" si="41"/>
        <v>3</v>
      </c>
      <c r="Q94">
        <f t="shared" si="41"/>
        <v>3</v>
      </c>
      <c r="R94">
        <f t="shared" si="41"/>
        <v>3</v>
      </c>
      <c r="S94">
        <f t="shared" si="41"/>
        <v>3</v>
      </c>
      <c r="T94">
        <f t="shared" si="41"/>
        <v>3</v>
      </c>
      <c r="U94">
        <f t="shared" si="41"/>
        <v>3</v>
      </c>
      <c r="V94">
        <f t="shared" si="41"/>
        <v>3</v>
      </c>
      <c r="W94">
        <f t="shared" si="41"/>
        <v>3</v>
      </c>
      <c r="X94">
        <f t="shared" si="41"/>
        <v>3</v>
      </c>
      <c r="Y94">
        <f t="shared" si="41"/>
        <v>3</v>
      </c>
      <c r="Z94">
        <f t="shared" si="41"/>
        <v>3</v>
      </c>
      <c r="AA94">
        <f t="shared" si="41"/>
        <v>3</v>
      </c>
      <c r="AB94">
        <f t="shared" si="41"/>
        <v>3</v>
      </c>
      <c r="AC94">
        <f t="shared" si="41"/>
        <v>3</v>
      </c>
      <c r="AD94">
        <f t="shared" si="41"/>
        <v>3</v>
      </c>
      <c r="AE94">
        <f t="shared" si="41"/>
        <v>3</v>
      </c>
      <c r="AF94">
        <f t="shared" si="41"/>
        <v>3</v>
      </c>
      <c r="AG94">
        <f t="shared" si="41"/>
        <v>3</v>
      </c>
      <c r="AH94">
        <f t="shared" si="41"/>
        <v>3</v>
      </c>
      <c r="AI94" t="s">
        <v>1</v>
      </c>
      <c r="AJ94" t="str">
        <f>"0"&amp;DEC2HEX(A94*64+B94*16+C94*4+D94)&amp;"h"</f>
        <v>0FCh</v>
      </c>
      <c r="AK94" t="s">
        <v>0</v>
      </c>
      <c r="AN94" t="str">
        <f>"0"&amp;DEC2HEX(E94*64+F94*16+G94*4+H94)&amp;"h"</f>
        <v>0CFh</v>
      </c>
      <c r="AW94" t="str">
        <f>_xlfn.CONCAT(AI94:AV94)</f>
        <v>db 0FCh,0CFh</v>
      </c>
    </row>
    <row r="95" spans="1:49" x14ac:dyDescent="0.2">
      <c r="A95">
        <f t="shared" ref="A95:AH95" si="42">IF(A104&gt;0,0,3)</f>
        <v>3</v>
      </c>
      <c r="B95">
        <f t="shared" si="42"/>
        <v>3</v>
      </c>
      <c r="C95">
        <f t="shared" si="42"/>
        <v>0</v>
      </c>
      <c r="D95">
        <f t="shared" si="42"/>
        <v>3</v>
      </c>
      <c r="E95">
        <f t="shared" si="42"/>
        <v>0</v>
      </c>
      <c r="F95">
        <f t="shared" si="42"/>
        <v>3</v>
      </c>
      <c r="G95">
        <f t="shared" si="42"/>
        <v>3</v>
      </c>
      <c r="H95">
        <f t="shared" si="42"/>
        <v>3</v>
      </c>
      <c r="I95">
        <f t="shared" si="42"/>
        <v>3</v>
      </c>
      <c r="J95">
        <f t="shared" si="42"/>
        <v>3</v>
      </c>
      <c r="K95">
        <f t="shared" si="42"/>
        <v>3</v>
      </c>
      <c r="L95">
        <f t="shared" si="42"/>
        <v>3</v>
      </c>
      <c r="M95">
        <f t="shared" si="42"/>
        <v>3</v>
      </c>
      <c r="N95">
        <f t="shared" si="42"/>
        <v>3</v>
      </c>
      <c r="O95">
        <f t="shared" si="42"/>
        <v>3</v>
      </c>
      <c r="P95">
        <f t="shared" si="42"/>
        <v>3</v>
      </c>
      <c r="Q95">
        <f t="shared" si="42"/>
        <v>3</v>
      </c>
      <c r="R95">
        <f t="shared" si="42"/>
        <v>3</v>
      </c>
      <c r="S95">
        <f t="shared" si="42"/>
        <v>3</v>
      </c>
      <c r="T95">
        <f t="shared" si="42"/>
        <v>3</v>
      </c>
      <c r="U95">
        <f t="shared" si="42"/>
        <v>3</v>
      </c>
      <c r="V95">
        <f t="shared" si="42"/>
        <v>3</v>
      </c>
      <c r="W95">
        <f t="shared" si="42"/>
        <v>3</v>
      </c>
      <c r="X95">
        <f t="shared" si="42"/>
        <v>3</v>
      </c>
      <c r="Y95">
        <f t="shared" si="42"/>
        <v>3</v>
      </c>
      <c r="Z95">
        <f t="shared" si="42"/>
        <v>3</v>
      </c>
      <c r="AA95">
        <f t="shared" si="42"/>
        <v>3</v>
      </c>
      <c r="AB95">
        <f t="shared" si="42"/>
        <v>3</v>
      </c>
      <c r="AC95">
        <f t="shared" si="42"/>
        <v>3</v>
      </c>
      <c r="AD95">
        <f t="shared" si="42"/>
        <v>3</v>
      </c>
      <c r="AE95">
        <f t="shared" si="42"/>
        <v>3</v>
      </c>
      <c r="AF95">
        <f t="shared" si="42"/>
        <v>3</v>
      </c>
      <c r="AG95">
        <f t="shared" si="42"/>
        <v>3</v>
      </c>
      <c r="AH95">
        <f t="shared" si="42"/>
        <v>3</v>
      </c>
      <c r="AI95" t="s">
        <v>1</v>
      </c>
      <c r="AJ95" t="str">
        <f>"0"&amp;DEC2HEX(A95*64+B95*16+C95*4+D95)&amp;"h"</f>
        <v>0F3h</v>
      </c>
      <c r="AK95" t="s">
        <v>0</v>
      </c>
      <c r="AN95" t="str">
        <f>"0"&amp;DEC2HEX(E95*64+F95*16+G95*4+H95)&amp;"h"</f>
        <v>03Fh</v>
      </c>
      <c r="AW95" t="str">
        <f>_xlfn.CONCAT(AI95:AV95)</f>
        <v>db 0F3h,03Fh</v>
      </c>
    </row>
    <row r="96" spans="1:49" x14ac:dyDescent="0.2">
      <c r="A96">
        <f t="shared" ref="A96:AH96" si="43">IF(A105&gt;0,0,3)</f>
        <v>3</v>
      </c>
      <c r="B96">
        <f t="shared" si="43"/>
        <v>3</v>
      </c>
      <c r="C96">
        <f t="shared" si="43"/>
        <v>3</v>
      </c>
      <c r="D96">
        <f t="shared" si="43"/>
        <v>0</v>
      </c>
      <c r="E96">
        <f t="shared" si="43"/>
        <v>3</v>
      </c>
      <c r="F96">
        <f t="shared" si="43"/>
        <v>0</v>
      </c>
      <c r="G96">
        <f t="shared" si="43"/>
        <v>3</v>
      </c>
      <c r="H96">
        <f t="shared" si="43"/>
        <v>3</v>
      </c>
      <c r="I96">
        <f t="shared" si="43"/>
        <v>3</v>
      </c>
      <c r="J96">
        <f t="shared" si="43"/>
        <v>3</v>
      </c>
      <c r="K96">
        <f t="shared" si="43"/>
        <v>3</v>
      </c>
      <c r="L96">
        <f t="shared" si="43"/>
        <v>3</v>
      </c>
      <c r="M96">
        <f t="shared" si="43"/>
        <v>3</v>
      </c>
      <c r="N96">
        <f t="shared" si="43"/>
        <v>3</v>
      </c>
      <c r="O96">
        <f t="shared" si="43"/>
        <v>3</v>
      </c>
      <c r="P96">
        <f t="shared" si="43"/>
        <v>3</v>
      </c>
      <c r="Q96">
        <f t="shared" si="43"/>
        <v>3</v>
      </c>
      <c r="R96">
        <f t="shared" si="43"/>
        <v>3</v>
      </c>
      <c r="S96">
        <f t="shared" si="43"/>
        <v>3</v>
      </c>
      <c r="T96">
        <f t="shared" si="43"/>
        <v>3</v>
      </c>
      <c r="U96">
        <f t="shared" si="43"/>
        <v>3</v>
      </c>
      <c r="V96">
        <f t="shared" si="43"/>
        <v>3</v>
      </c>
      <c r="W96">
        <f t="shared" si="43"/>
        <v>3</v>
      </c>
      <c r="X96">
        <f t="shared" si="43"/>
        <v>3</v>
      </c>
      <c r="Y96">
        <f t="shared" si="43"/>
        <v>3</v>
      </c>
      <c r="Z96">
        <f t="shared" si="43"/>
        <v>3</v>
      </c>
      <c r="AA96">
        <f t="shared" si="43"/>
        <v>3</v>
      </c>
      <c r="AB96">
        <f t="shared" si="43"/>
        <v>3</v>
      </c>
      <c r="AC96">
        <f t="shared" si="43"/>
        <v>3</v>
      </c>
      <c r="AD96">
        <f t="shared" si="43"/>
        <v>3</v>
      </c>
      <c r="AE96">
        <f t="shared" si="43"/>
        <v>3</v>
      </c>
      <c r="AF96">
        <f t="shared" si="43"/>
        <v>3</v>
      </c>
      <c r="AG96">
        <f t="shared" si="43"/>
        <v>3</v>
      </c>
      <c r="AH96">
        <f t="shared" si="43"/>
        <v>3</v>
      </c>
      <c r="AI96" t="s">
        <v>1</v>
      </c>
      <c r="AJ96" t="str">
        <f>"0"&amp;DEC2HEX(A96*64+B96*16+C96*4+D96)&amp;"h"</f>
        <v>0FCh</v>
      </c>
      <c r="AK96" t="s">
        <v>0</v>
      </c>
      <c r="AN96" t="str">
        <f>"0"&amp;DEC2HEX(E96*64+F96*16+G96*4+H96)&amp;"h"</f>
        <v>0CFh</v>
      </c>
      <c r="AW96" t="str">
        <f>_xlfn.CONCAT(AI96:AV96)</f>
        <v>db 0FCh,0CFh</v>
      </c>
    </row>
    <row r="97" spans="1:49" x14ac:dyDescent="0.2">
      <c r="A97">
        <f t="shared" ref="A97:AH97" si="44">IF(A106&gt;0,0,3)</f>
        <v>3</v>
      </c>
      <c r="B97">
        <f t="shared" si="44"/>
        <v>0</v>
      </c>
      <c r="C97">
        <f t="shared" si="44"/>
        <v>3</v>
      </c>
      <c r="D97">
        <f t="shared" si="44"/>
        <v>3</v>
      </c>
      <c r="E97">
        <f t="shared" si="44"/>
        <v>3</v>
      </c>
      <c r="F97">
        <f t="shared" si="44"/>
        <v>3</v>
      </c>
      <c r="G97">
        <f t="shared" si="44"/>
        <v>0</v>
      </c>
      <c r="H97">
        <f t="shared" si="44"/>
        <v>3</v>
      </c>
      <c r="I97">
        <f t="shared" si="44"/>
        <v>3</v>
      </c>
      <c r="J97">
        <f t="shared" si="44"/>
        <v>3</v>
      </c>
      <c r="K97">
        <f t="shared" si="44"/>
        <v>3</v>
      </c>
      <c r="L97">
        <f t="shared" si="44"/>
        <v>3</v>
      </c>
      <c r="M97">
        <f t="shared" si="44"/>
        <v>3</v>
      </c>
      <c r="N97">
        <f t="shared" si="44"/>
        <v>3</v>
      </c>
      <c r="O97">
        <f t="shared" si="44"/>
        <v>3</v>
      </c>
      <c r="P97">
        <f t="shared" si="44"/>
        <v>3</v>
      </c>
      <c r="Q97">
        <f t="shared" si="44"/>
        <v>3</v>
      </c>
      <c r="R97">
        <f t="shared" si="44"/>
        <v>3</v>
      </c>
      <c r="S97">
        <f t="shared" si="44"/>
        <v>3</v>
      </c>
      <c r="T97">
        <f t="shared" si="44"/>
        <v>3</v>
      </c>
      <c r="U97">
        <f t="shared" si="44"/>
        <v>3</v>
      </c>
      <c r="V97">
        <f t="shared" si="44"/>
        <v>3</v>
      </c>
      <c r="W97">
        <f t="shared" si="44"/>
        <v>3</v>
      </c>
      <c r="X97">
        <f t="shared" si="44"/>
        <v>3</v>
      </c>
      <c r="Y97">
        <f t="shared" si="44"/>
        <v>3</v>
      </c>
      <c r="Z97">
        <f t="shared" si="44"/>
        <v>3</v>
      </c>
      <c r="AA97">
        <f t="shared" si="44"/>
        <v>3</v>
      </c>
      <c r="AB97">
        <f t="shared" si="44"/>
        <v>3</v>
      </c>
      <c r="AC97">
        <f t="shared" si="44"/>
        <v>3</v>
      </c>
      <c r="AD97">
        <f t="shared" si="44"/>
        <v>3</v>
      </c>
      <c r="AE97">
        <f t="shared" si="44"/>
        <v>3</v>
      </c>
      <c r="AF97">
        <f t="shared" si="44"/>
        <v>3</v>
      </c>
      <c r="AG97">
        <f t="shared" si="44"/>
        <v>3</v>
      </c>
      <c r="AH97">
        <f t="shared" si="44"/>
        <v>3</v>
      </c>
      <c r="AI97" t="s">
        <v>1</v>
      </c>
      <c r="AJ97" t="str">
        <f>"0"&amp;DEC2HEX(A97*64+B97*16+C97*4+D97)&amp;"h"</f>
        <v>0CFh</v>
      </c>
      <c r="AK97" t="s">
        <v>0</v>
      </c>
      <c r="AN97" t="str">
        <f>"0"&amp;DEC2HEX(E97*64+F97*16+G97*4+H97)&amp;"h"</f>
        <v>0F3h</v>
      </c>
      <c r="AW97" t="str">
        <f>_xlfn.CONCAT(AI97:AV97)</f>
        <v>db 0CFh,0F3h</v>
      </c>
    </row>
    <row r="98" spans="1:49" x14ac:dyDescent="0.2">
      <c r="A98">
        <f t="shared" ref="A98:AH98" si="45">IF(A107&gt;0,0,3)</f>
        <v>3</v>
      </c>
      <c r="B98">
        <f t="shared" si="45"/>
        <v>3</v>
      </c>
      <c r="C98">
        <f t="shared" si="45"/>
        <v>0</v>
      </c>
      <c r="D98">
        <f t="shared" si="45"/>
        <v>3</v>
      </c>
      <c r="E98">
        <f t="shared" si="45"/>
        <v>0</v>
      </c>
      <c r="F98">
        <f t="shared" si="45"/>
        <v>3</v>
      </c>
      <c r="G98">
        <f t="shared" si="45"/>
        <v>3</v>
      </c>
      <c r="H98">
        <f t="shared" si="45"/>
        <v>3</v>
      </c>
      <c r="I98">
        <f t="shared" si="45"/>
        <v>3</v>
      </c>
      <c r="J98">
        <f t="shared" si="45"/>
        <v>3</v>
      </c>
      <c r="K98">
        <f t="shared" si="45"/>
        <v>3</v>
      </c>
      <c r="L98">
        <f t="shared" si="45"/>
        <v>3</v>
      </c>
      <c r="M98">
        <f t="shared" si="45"/>
        <v>3</v>
      </c>
      <c r="N98">
        <f t="shared" si="45"/>
        <v>3</v>
      </c>
      <c r="O98">
        <f t="shared" si="45"/>
        <v>3</v>
      </c>
      <c r="P98">
        <f t="shared" si="45"/>
        <v>3</v>
      </c>
      <c r="Q98">
        <f t="shared" si="45"/>
        <v>3</v>
      </c>
      <c r="R98">
        <f t="shared" si="45"/>
        <v>3</v>
      </c>
      <c r="S98">
        <f t="shared" si="45"/>
        <v>3</v>
      </c>
      <c r="T98">
        <f t="shared" si="45"/>
        <v>3</v>
      </c>
      <c r="U98">
        <f t="shared" si="45"/>
        <v>3</v>
      </c>
      <c r="V98">
        <f t="shared" si="45"/>
        <v>3</v>
      </c>
      <c r="W98">
        <f t="shared" si="45"/>
        <v>3</v>
      </c>
      <c r="X98">
        <f t="shared" si="45"/>
        <v>3</v>
      </c>
      <c r="Y98">
        <f t="shared" si="45"/>
        <v>3</v>
      </c>
      <c r="Z98">
        <f t="shared" si="45"/>
        <v>3</v>
      </c>
      <c r="AA98">
        <f t="shared" si="45"/>
        <v>3</v>
      </c>
      <c r="AB98">
        <f t="shared" si="45"/>
        <v>3</v>
      </c>
      <c r="AC98">
        <f t="shared" si="45"/>
        <v>3</v>
      </c>
      <c r="AD98">
        <f t="shared" si="45"/>
        <v>3</v>
      </c>
      <c r="AE98">
        <f t="shared" si="45"/>
        <v>3</v>
      </c>
      <c r="AF98">
        <f t="shared" si="45"/>
        <v>3</v>
      </c>
      <c r="AG98">
        <f t="shared" si="45"/>
        <v>3</v>
      </c>
      <c r="AH98">
        <f t="shared" si="45"/>
        <v>3</v>
      </c>
      <c r="AI98" t="s">
        <v>1</v>
      </c>
      <c r="AJ98" t="str">
        <f>"0"&amp;DEC2HEX(A98*64+B98*16+C98*4+D98)&amp;"h"</f>
        <v>0F3h</v>
      </c>
      <c r="AK98" t="s">
        <v>0</v>
      </c>
      <c r="AN98" t="str">
        <f>"0"&amp;DEC2HEX(E98*64+F98*16+G98*4+H98)&amp;"h"</f>
        <v>03Fh</v>
      </c>
      <c r="AW98" t="str">
        <f>_xlfn.CONCAT(AI98:AV98)</f>
        <v>db 0F3h,03Fh</v>
      </c>
    </row>
    <row r="99" spans="1:49" x14ac:dyDescent="0.2">
      <c r="A99">
        <f t="shared" ref="A99:AH99" si="46">IF(A108&gt;0,0,3)</f>
        <v>3</v>
      </c>
      <c r="B99">
        <f t="shared" si="46"/>
        <v>3</v>
      </c>
      <c r="C99">
        <f t="shared" si="46"/>
        <v>3</v>
      </c>
      <c r="D99">
        <f t="shared" si="46"/>
        <v>3</v>
      </c>
      <c r="E99">
        <f t="shared" si="46"/>
        <v>3</v>
      </c>
      <c r="F99">
        <f t="shared" si="46"/>
        <v>0</v>
      </c>
      <c r="G99">
        <f t="shared" si="46"/>
        <v>3</v>
      </c>
      <c r="H99">
        <f t="shared" si="46"/>
        <v>3</v>
      </c>
      <c r="I99">
        <f t="shared" si="46"/>
        <v>3</v>
      </c>
      <c r="J99">
        <f t="shared" si="46"/>
        <v>3</v>
      </c>
      <c r="K99">
        <f t="shared" si="46"/>
        <v>3</v>
      </c>
      <c r="L99">
        <f t="shared" si="46"/>
        <v>3</v>
      </c>
      <c r="M99">
        <f t="shared" si="46"/>
        <v>3</v>
      </c>
      <c r="N99">
        <f t="shared" si="46"/>
        <v>3</v>
      </c>
      <c r="O99">
        <f t="shared" si="46"/>
        <v>3</v>
      </c>
      <c r="P99">
        <f t="shared" si="46"/>
        <v>3</v>
      </c>
      <c r="Q99">
        <f t="shared" si="46"/>
        <v>3</v>
      </c>
      <c r="R99">
        <f t="shared" si="46"/>
        <v>3</v>
      </c>
      <c r="S99">
        <f t="shared" si="46"/>
        <v>3</v>
      </c>
      <c r="T99">
        <f t="shared" si="46"/>
        <v>3</v>
      </c>
      <c r="U99">
        <f t="shared" si="46"/>
        <v>3</v>
      </c>
      <c r="V99">
        <f t="shared" si="46"/>
        <v>3</v>
      </c>
      <c r="W99">
        <f t="shared" si="46"/>
        <v>3</v>
      </c>
      <c r="X99">
        <f t="shared" si="46"/>
        <v>3</v>
      </c>
      <c r="Y99">
        <f t="shared" si="46"/>
        <v>3</v>
      </c>
      <c r="Z99">
        <f t="shared" si="46"/>
        <v>3</v>
      </c>
      <c r="AA99">
        <f t="shared" si="46"/>
        <v>3</v>
      </c>
      <c r="AB99">
        <f t="shared" si="46"/>
        <v>3</v>
      </c>
      <c r="AC99">
        <f t="shared" si="46"/>
        <v>3</v>
      </c>
      <c r="AD99">
        <f t="shared" si="46"/>
        <v>3</v>
      </c>
      <c r="AE99">
        <f t="shared" si="46"/>
        <v>3</v>
      </c>
      <c r="AF99">
        <f t="shared" si="46"/>
        <v>3</v>
      </c>
      <c r="AG99">
        <f t="shared" si="46"/>
        <v>3</v>
      </c>
      <c r="AH99">
        <f t="shared" si="46"/>
        <v>3</v>
      </c>
      <c r="AI99" t="s">
        <v>1</v>
      </c>
      <c r="AJ99" t="str">
        <f>"0"&amp;DEC2HEX(A99*64+B99*16+C99*4+D99)&amp;"h"</f>
        <v>0FFh</v>
      </c>
      <c r="AK99" t="s">
        <v>0</v>
      </c>
      <c r="AN99" t="str">
        <f>"0"&amp;DEC2HEX(E99*64+F99*16+G99*4+H99)&amp;"h"</f>
        <v>0CFh</v>
      </c>
      <c r="AW99" t="str">
        <f>_xlfn.CONCAT(AI99:AV99)</f>
        <v>db 0FFh,0CFh</v>
      </c>
    </row>
    <row r="100" spans="1:49" x14ac:dyDescent="0.2">
      <c r="A100">
        <f t="shared" ref="A100:AH100" si="47">IF(A109&gt;0,0,3)</f>
        <v>3</v>
      </c>
      <c r="B100">
        <f t="shared" si="47"/>
        <v>3</v>
      </c>
      <c r="C100">
        <f t="shared" si="47"/>
        <v>3</v>
      </c>
      <c r="D100">
        <f t="shared" si="47"/>
        <v>3</v>
      </c>
      <c r="E100">
        <f t="shared" si="47"/>
        <v>3</v>
      </c>
      <c r="F100">
        <f t="shared" si="47"/>
        <v>3</v>
      </c>
      <c r="G100">
        <f t="shared" si="47"/>
        <v>3</v>
      </c>
      <c r="H100">
        <f t="shared" si="47"/>
        <v>3</v>
      </c>
      <c r="I100">
        <f t="shared" si="47"/>
        <v>3</v>
      </c>
      <c r="J100">
        <f t="shared" si="47"/>
        <v>3</v>
      </c>
      <c r="K100">
        <f t="shared" si="47"/>
        <v>3</v>
      </c>
      <c r="L100">
        <f t="shared" si="47"/>
        <v>3</v>
      </c>
      <c r="M100">
        <f t="shared" si="47"/>
        <v>3</v>
      </c>
      <c r="N100">
        <f t="shared" si="47"/>
        <v>3</v>
      </c>
      <c r="O100">
        <f t="shared" si="47"/>
        <v>3</v>
      </c>
      <c r="P100">
        <f t="shared" si="47"/>
        <v>3</v>
      </c>
      <c r="Q100">
        <f t="shared" si="47"/>
        <v>3</v>
      </c>
      <c r="R100">
        <f t="shared" si="47"/>
        <v>3</v>
      </c>
      <c r="S100">
        <f t="shared" si="47"/>
        <v>3</v>
      </c>
      <c r="T100">
        <f t="shared" si="47"/>
        <v>3</v>
      </c>
      <c r="U100">
        <f t="shared" si="47"/>
        <v>3</v>
      </c>
      <c r="V100">
        <f t="shared" si="47"/>
        <v>3</v>
      </c>
      <c r="W100">
        <f t="shared" si="47"/>
        <v>3</v>
      </c>
      <c r="X100">
        <f t="shared" si="47"/>
        <v>3</v>
      </c>
      <c r="Y100">
        <f t="shared" si="47"/>
        <v>3</v>
      </c>
      <c r="Z100">
        <f t="shared" si="47"/>
        <v>3</v>
      </c>
      <c r="AA100">
        <f t="shared" si="47"/>
        <v>3</v>
      </c>
      <c r="AB100">
        <f t="shared" si="47"/>
        <v>3</v>
      </c>
      <c r="AC100">
        <f t="shared" si="47"/>
        <v>3</v>
      </c>
      <c r="AD100">
        <f t="shared" si="47"/>
        <v>3</v>
      </c>
      <c r="AE100">
        <f t="shared" si="47"/>
        <v>3</v>
      </c>
      <c r="AF100">
        <f t="shared" si="47"/>
        <v>3</v>
      </c>
      <c r="AG100">
        <f t="shared" si="47"/>
        <v>3</v>
      </c>
      <c r="AH100">
        <f t="shared" si="47"/>
        <v>3</v>
      </c>
      <c r="AI100" t="s">
        <v>1</v>
      </c>
      <c r="AJ100" t="str">
        <f>"0"&amp;DEC2HEX(A100*64+B100*16+C100*4+D100)&amp;"h"</f>
        <v>0FFh</v>
      </c>
      <c r="AK100" t="s">
        <v>0</v>
      </c>
      <c r="AN100" t="str">
        <f>"0"&amp;DEC2HEX(E100*64+F100*16+G100*4+H100)&amp;"h"</f>
        <v>0FFh</v>
      </c>
      <c r="AW100" t="str">
        <f>_xlfn.CONCAT(AI100:AV100)</f>
        <v>db 0FFh,0FFh</v>
      </c>
    </row>
    <row r="101" spans="1:49" x14ac:dyDescent="0.2">
      <c r="A101">
        <v>3</v>
      </c>
      <c r="E101">
        <v>3</v>
      </c>
      <c r="I101">
        <v>3</v>
      </c>
      <c r="M101">
        <v>3</v>
      </c>
      <c r="Q101">
        <v>3</v>
      </c>
    </row>
    <row r="102" spans="1:49" x14ac:dyDescent="0.2">
      <c r="AI102" t="s">
        <v>1</v>
      </c>
      <c r="AJ102" t="str">
        <f>"0"&amp;DEC2HEX(A102*64+B102*16+C102*4+D102)&amp;"h"</f>
        <v>00h</v>
      </c>
      <c r="AK102" t="s">
        <v>0</v>
      </c>
      <c r="AN102" t="str">
        <f>"0"&amp;DEC2HEX(E102*64+F102*16+G102*4+H102)&amp;"h"</f>
        <v>00h</v>
      </c>
      <c r="AW102" t="str">
        <f>_xlfn.CONCAT(AI102:AV102)</f>
        <v>db 00h,00h</v>
      </c>
    </row>
    <row r="103" spans="1:49" x14ac:dyDescent="0.2">
      <c r="D103">
        <v>1</v>
      </c>
      <c r="F103">
        <v>1</v>
      </c>
      <c r="AI103" t="s">
        <v>1</v>
      </c>
      <c r="AJ103" t="str">
        <f>"0"&amp;DEC2HEX(A103*64+B103*16+C103*4+D103)&amp;"h"</f>
        <v>01h</v>
      </c>
      <c r="AK103" t="s">
        <v>0</v>
      </c>
      <c r="AN103" t="str">
        <f>"0"&amp;DEC2HEX(E103*64+F103*16+G103*4+H103)&amp;"h"</f>
        <v>010h</v>
      </c>
      <c r="AW103" t="str">
        <f>_xlfn.CONCAT(AI103:AV103)</f>
        <v>db 01h,010h</v>
      </c>
    </row>
    <row r="104" spans="1:49" x14ac:dyDescent="0.2">
      <c r="C104">
        <v>1</v>
      </c>
      <c r="E104">
        <v>2</v>
      </c>
      <c r="AI104" t="s">
        <v>1</v>
      </c>
      <c r="AJ104" t="str">
        <f>"0"&amp;DEC2HEX(A104*64+B104*16+C104*4+D104)&amp;"h"</f>
        <v>04h</v>
      </c>
      <c r="AK104" t="s">
        <v>0</v>
      </c>
      <c r="AN104" t="str">
        <f>"0"&amp;DEC2HEX(E104*64+F104*16+G104*4+H104)&amp;"h"</f>
        <v>080h</v>
      </c>
      <c r="AW104" t="str">
        <f>_xlfn.CONCAT(AI104:AV104)</f>
        <v>db 04h,080h</v>
      </c>
    </row>
    <row r="105" spans="1:49" x14ac:dyDescent="0.2">
      <c r="D105">
        <v>2</v>
      </c>
      <c r="F105">
        <v>1</v>
      </c>
      <c r="AI105" t="s">
        <v>1</v>
      </c>
      <c r="AJ105" t="str">
        <f>"0"&amp;DEC2HEX(A105*64+B105*16+C105*4+D105)&amp;"h"</f>
        <v>02h</v>
      </c>
      <c r="AK105" t="s">
        <v>0</v>
      </c>
      <c r="AN105" t="str">
        <f>"0"&amp;DEC2HEX(E105*64+F105*16+G105*4+H105)&amp;"h"</f>
        <v>010h</v>
      </c>
      <c r="AW105" t="str">
        <f>_xlfn.CONCAT(AI105:AV105)</f>
        <v>db 02h,010h</v>
      </c>
    </row>
    <row r="106" spans="1:49" x14ac:dyDescent="0.2">
      <c r="B106">
        <v>1</v>
      </c>
      <c r="G106">
        <v>1</v>
      </c>
      <c r="AI106" t="s">
        <v>1</v>
      </c>
      <c r="AJ106" t="str">
        <f>"0"&amp;DEC2HEX(A106*64+B106*16+C106*4+D106)&amp;"h"</f>
        <v>010h</v>
      </c>
      <c r="AK106" t="s">
        <v>0</v>
      </c>
      <c r="AN106" t="str">
        <f>"0"&amp;DEC2HEX(E106*64+F106*16+G106*4+H106)&amp;"h"</f>
        <v>04h</v>
      </c>
      <c r="AW106" t="str">
        <f>_xlfn.CONCAT(AI106:AV106)</f>
        <v>db 010h,04h</v>
      </c>
    </row>
    <row r="107" spans="1:49" x14ac:dyDescent="0.2">
      <c r="C107">
        <v>1</v>
      </c>
      <c r="E107">
        <v>2</v>
      </c>
      <c r="AI107" t="s">
        <v>1</v>
      </c>
      <c r="AJ107" t="str">
        <f>"0"&amp;DEC2HEX(A107*64+B107*16+C107*4+D107)&amp;"h"</f>
        <v>04h</v>
      </c>
      <c r="AK107" t="s">
        <v>0</v>
      </c>
      <c r="AN107" t="str">
        <f>"0"&amp;DEC2HEX(E107*64+F107*16+G107*4+H107)&amp;"h"</f>
        <v>080h</v>
      </c>
      <c r="AW107" t="str">
        <f>_xlfn.CONCAT(AI107:AV107)</f>
        <v>db 04h,080h</v>
      </c>
    </row>
    <row r="108" spans="1:49" x14ac:dyDescent="0.2">
      <c r="F108">
        <v>1</v>
      </c>
      <c r="AI108" t="s">
        <v>1</v>
      </c>
      <c r="AJ108" t="str">
        <f>"0"&amp;DEC2HEX(A108*64+B108*16+C108*4+D108)&amp;"h"</f>
        <v>00h</v>
      </c>
      <c r="AK108" t="s">
        <v>0</v>
      </c>
      <c r="AN108" t="str">
        <f>"0"&amp;DEC2HEX(E108*64+F108*16+G108*4+H108)&amp;"h"</f>
        <v>010h</v>
      </c>
      <c r="AW108" t="str">
        <f>_xlfn.CONCAT(AI108:AV108)</f>
        <v>db 00h,010h</v>
      </c>
    </row>
    <row r="109" spans="1:49" x14ac:dyDescent="0.2">
      <c r="AI109" t="s">
        <v>1</v>
      </c>
      <c r="AJ109" t="str">
        <f>"0"&amp;DEC2HEX(A109*64+B109*16+C109*4+D109)&amp;"h"</f>
        <v>00h</v>
      </c>
      <c r="AK109" t="s">
        <v>0</v>
      </c>
      <c r="AN109" t="str">
        <f>"0"&amp;DEC2HEX(E109*64+F109*16+G109*4+H109)&amp;"h"</f>
        <v>00h</v>
      </c>
      <c r="AW109" t="str">
        <f>_xlfn.CONCAT(AI109:AV109)</f>
        <v>db 00h,00h</v>
      </c>
    </row>
    <row r="110" spans="1:49" x14ac:dyDescent="0.2">
      <c r="AI110" s="1" t="s">
        <v>13</v>
      </c>
    </row>
    <row r="111" spans="1:49" x14ac:dyDescent="0.2">
      <c r="A111">
        <f>IF(A120&gt;0,0,3)</f>
        <v>3</v>
      </c>
      <c r="B111">
        <f t="shared" ref="B111:AH111" si="48">IF(B120&gt;0,0,3)</f>
        <v>3</v>
      </c>
      <c r="C111">
        <f t="shared" si="48"/>
        <v>0</v>
      </c>
      <c r="D111">
        <f t="shared" si="48"/>
        <v>3</v>
      </c>
      <c r="E111">
        <f t="shared" si="48"/>
        <v>3</v>
      </c>
      <c r="F111">
        <f t="shared" si="48"/>
        <v>0</v>
      </c>
      <c r="G111">
        <f t="shared" si="48"/>
        <v>3</v>
      </c>
      <c r="H111">
        <f t="shared" si="48"/>
        <v>3</v>
      </c>
      <c r="I111">
        <f t="shared" si="48"/>
        <v>3</v>
      </c>
      <c r="J111">
        <f t="shared" si="48"/>
        <v>3</v>
      </c>
      <c r="K111">
        <f t="shared" si="48"/>
        <v>3</v>
      </c>
      <c r="L111">
        <f t="shared" si="48"/>
        <v>3</v>
      </c>
      <c r="M111">
        <f t="shared" si="48"/>
        <v>3</v>
      </c>
      <c r="N111">
        <f t="shared" si="48"/>
        <v>3</v>
      </c>
      <c r="O111">
        <f t="shared" si="48"/>
        <v>3</v>
      </c>
      <c r="P111">
        <f t="shared" si="48"/>
        <v>3</v>
      </c>
      <c r="Q111">
        <f t="shared" si="48"/>
        <v>3</v>
      </c>
      <c r="R111">
        <f t="shared" si="48"/>
        <v>3</v>
      </c>
      <c r="S111">
        <f t="shared" si="48"/>
        <v>3</v>
      </c>
      <c r="T111">
        <f t="shared" si="48"/>
        <v>3</v>
      </c>
      <c r="U111">
        <f t="shared" si="48"/>
        <v>3</v>
      </c>
      <c r="V111">
        <f t="shared" si="48"/>
        <v>3</v>
      </c>
      <c r="W111">
        <f t="shared" si="48"/>
        <v>3</v>
      </c>
      <c r="X111">
        <f t="shared" si="48"/>
        <v>3</v>
      </c>
      <c r="Y111">
        <f t="shared" si="48"/>
        <v>3</v>
      </c>
      <c r="Z111">
        <f t="shared" si="48"/>
        <v>3</v>
      </c>
      <c r="AA111">
        <f t="shared" si="48"/>
        <v>3</v>
      </c>
      <c r="AB111">
        <f t="shared" si="48"/>
        <v>3</v>
      </c>
      <c r="AC111">
        <f t="shared" si="48"/>
        <v>3</v>
      </c>
      <c r="AD111">
        <f t="shared" si="48"/>
        <v>3</v>
      </c>
      <c r="AE111">
        <f t="shared" si="48"/>
        <v>3</v>
      </c>
      <c r="AF111">
        <f t="shared" si="48"/>
        <v>3</v>
      </c>
      <c r="AG111">
        <f t="shared" si="48"/>
        <v>3</v>
      </c>
      <c r="AH111">
        <f t="shared" si="48"/>
        <v>3</v>
      </c>
      <c r="AI111" t="s">
        <v>1</v>
      </c>
      <c r="AJ111" t="str">
        <f>"0"&amp;DEC2HEX(A111*64+B111*16+C111*4+D111)&amp;"h"</f>
        <v>0F3h</v>
      </c>
      <c r="AK111" t="s">
        <v>0</v>
      </c>
      <c r="AN111" t="str">
        <f>"0"&amp;DEC2HEX(E111*64+F111*16+G111*4+H111)&amp;"h"</f>
        <v>0CFh</v>
      </c>
      <c r="AW111" t="str">
        <f>_xlfn.CONCAT(AI111:AV111)</f>
        <v>db 0F3h,0CFh</v>
      </c>
    </row>
    <row r="112" spans="1:49" x14ac:dyDescent="0.2">
      <c r="A112">
        <f t="shared" ref="A112:AH112" si="49">IF(A121&gt;0,0,3)</f>
        <v>3</v>
      </c>
      <c r="B112">
        <f t="shared" si="49"/>
        <v>0</v>
      </c>
      <c r="C112">
        <f t="shared" si="49"/>
        <v>3</v>
      </c>
      <c r="D112">
        <f t="shared" si="49"/>
        <v>3</v>
      </c>
      <c r="E112">
        <f t="shared" si="49"/>
        <v>0</v>
      </c>
      <c r="F112">
        <f t="shared" si="49"/>
        <v>3</v>
      </c>
      <c r="G112">
        <f t="shared" si="49"/>
        <v>0</v>
      </c>
      <c r="H112">
        <f t="shared" si="49"/>
        <v>3</v>
      </c>
      <c r="I112">
        <f t="shared" si="49"/>
        <v>3</v>
      </c>
      <c r="J112">
        <f t="shared" si="49"/>
        <v>3</v>
      </c>
      <c r="K112">
        <f t="shared" si="49"/>
        <v>3</v>
      </c>
      <c r="L112">
        <f t="shared" si="49"/>
        <v>3</v>
      </c>
      <c r="M112">
        <f t="shared" si="49"/>
        <v>3</v>
      </c>
      <c r="N112">
        <f t="shared" si="49"/>
        <v>3</v>
      </c>
      <c r="O112">
        <f t="shared" si="49"/>
        <v>3</v>
      </c>
      <c r="P112">
        <f t="shared" si="49"/>
        <v>3</v>
      </c>
      <c r="Q112">
        <f t="shared" si="49"/>
        <v>3</v>
      </c>
      <c r="R112">
        <f t="shared" si="49"/>
        <v>3</v>
      </c>
      <c r="S112">
        <f t="shared" si="49"/>
        <v>3</v>
      </c>
      <c r="T112">
        <f t="shared" si="49"/>
        <v>3</v>
      </c>
      <c r="U112">
        <f t="shared" si="49"/>
        <v>3</v>
      </c>
      <c r="V112">
        <f t="shared" si="49"/>
        <v>3</v>
      </c>
      <c r="W112">
        <f t="shared" si="49"/>
        <v>3</v>
      </c>
      <c r="X112">
        <f t="shared" si="49"/>
        <v>3</v>
      </c>
      <c r="Y112">
        <f t="shared" si="49"/>
        <v>3</v>
      </c>
      <c r="Z112">
        <f t="shared" si="49"/>
        <v>3</v>
      </c>
      <c r="AA112">
        <f t="shared" si="49"/>
        <v>3</v>
      </c>
      <c r="AB112">
        <f t="shared" si="49"/>
        <v>3</v>
      </c>
      <c r="AC112">
        <f t="shared" si="49"/>
        <v>3</v>
      </c>
      <c r="AD112">
        <f t="shared" si="49"/>
        <v>3</v>
      </c>
      <c r="AE112">
        <f t="shared" si="49"/>
        <v>3</v>
      </c>
      <c r="AF112">
        <f t="shared" si="49"/>
        <v>3</v>
      </c>
      <c r="AG112">
        <f t="shared" si="49"/>
        <v>3</v>
      </c>
      <c r="AH112">
        <f t="shared" si="49"/>
        <v>3</v>
      </c>
      <c r="AI112" t="s">
        <v>1</v>
      </c>
      <c r="AJ112" t="str">
        <f>"0"&amp;DEC2HEX(A112*64+B112*16+C112*4+D112)&amp;"h"</f>
        <v>0CFh</v>
      </c>
      <c r="AK112" t="s">
        <v>0</v>
      </c>
      <c r="AN112" t="str">
        <f>"0"&amp;DEC2HEX(E112*64+F112*16+G112*4+H112)&amp;"h"</f>
        <v>033h</v>
      </c>
      <c r="AW112" t="str">
        <f>_xlfn.CONCAT(AI112:AV112)</f>
        <v>db 0CFh,033h</v>
      </c>
    </row>
    <row r="113" spans="1:49" x14ac:dyDescent="0.2">
      <c r="A113">
        <f t="shared" ref="A113:AH113" si="50">IF(A122&gt;0,0,3)</f>
        <v>3</v>
      </c>
      <c r="B113">
        <f t="shared" si="50"/>
        <v>0</v>
      </c>
      <c r="C113">
        <f t="shared" si="50"/>
        <v>3</v>
      </c>
      <c r="D113">
        <f t="shared" si="50"/>
        <v>0</v>
      </c>
      <c r="E113">
        <f t="shared" si="50"/>
        <v>0</v>
      </c>
      <c r="F113">
        <f t="shared" si="50"/>
        <v>3</v>
      </c>
      <c r="G113">
        <f t="shared" si="50"/>
        <v>0</v>
      </c>
      <c r="H113">
        <f t="shared" si="50"/>
        <v>3</v>
      </c>
      <c r="I113">
        <f t="shared" si="50"/>
        <v>3</v>
      </c>
      <c r="J113">
        <f t="shared" si="50"/>
        <v>3</v>
      </c>
      <c r="K113">
        <f t="shared" si="50"/>
        <v>3</v>
      </c>
      <c r="L113">
        <f t="shared" si="50"/>
        <v>3</v>
      </c>
      <c r="M113">
        <f t="shared" si="50"/>
        <v>3</v>
      </c>
      <c r="N113">
        <f t="shared" si="50"/>
        <v>3</v>
      </c>
      <c r="O113">
        <f t="shared" si="50"/>
        <v>3</v>
      </c>
      <c r="P113">
        <f t="shared" si="50"/>
        <v>3</v>
      </c>
      <c r="Q113">
        <f t="shared" si="50"/>
        <v>3</v>
      </c>
      <c r="R113">
        <f t="shared" si="50"/>
        <v>3</v>
      </c>
      <c r="S113">
        <f t="shared" si="50"/>
        <v>3</v>
      </c>
      <c r="T113">
        <f t="shared" si="50"/>
        <v>3</v>
      </c>
      <c r="U113">
        <f t="shared" si="50"/>
        <v>3</v>
      </c>
      <c r="V113">
        <f t="shared" si="50"/>
        <v>3</v>
      </c>
      <c r="W113">
        <f t="shared" si="50"/>
        <v>3</v>
      </c>
      <c r="X113">
        <f t="shared" si="50"/>
        <v>3</v>
      </c>
      <c r="Y113">
        <f t="shared" si="50"/>
        <v>3</v>
      </c>
      <c r="Z113">
        <f t="shared" si="50"/>
        <v>3</v>
      </c>
      <c r="AA113">
        <f t="shared" si="50"/>
        <v>3</v>
      </c>
      <c r="AB113">
        <f t="shared" si="50"/>
        <v>3</v>
      </c>
      <c r="AC113">
        <f t="shared" si="50"/>
        <v>3</v>
      </c>
      <c r="AD113">
        <f t="shared" si="50"/>
        <v>3</v>
      </c>
      <c r="AE113">
        <f t="shared" si="50"/>
        <v>3</v>
      </c>
      <c r="AF113">
        <f t="shared" si="50"/>
        <v>3</v>
      </c>
      <c r="AG113">
        <f t="shared" si="50"/>
        <v>3</v>
      </c>
      <c r="AH113">
        <f t="shared" si="50"/>
        <v>3</v>
      </c>
      <c r="AI113" t="s">
        <v>1</v>
      </c>
      <c r="AJ113" t="str">
        <f>"0"&amp;DEC2HEX(A113*64+B113*16+C113*4+D113)&amp;"h"</f>
        <v>0CCh</v>
      </c>
      <c r="AK113" t="s">
        <v>0</v>
      </c>
      <c r="AN113" t="str">
        <f>"0"&amp;DEC2HEX(E113*64+F113*16+G113*4+H113)&amp;"h"</f>
        <v>033h</v>
      </c>
      <c r="AW113" t="str">
        <f>_xlfn.CONCAT(AI113:AV113)</f>
        <v>db 0CCh,033h</v>
      </c>
    </row>
    <row r="114" spans="1:49" x14ac:dyDescent="0.2">
      <c r="A114">
        <f t="shared" ref="A114:AH114" si="51">IF(A123&gt;0,0,3)</f>
        <v>0</v>
      </c>
      <c r="B114">
        <f t="shared" si="51"/>
        <v>3</v>
      </c>
      <c r="C114">
        <f t="shared" si="51"/>
        <v>0</v>
      </c>
      <c r="D114">
        <f t="shared" si="51"/>
        <v>3</v>
      </c>
      <c r="E114">
        <f t="shared" si="51"/>
        <v>0</v>
      </c>
      <c r="F114">
        <f t="shared" si="51"/>
        <v>3</v>
      </c>
      <c r="G114">
        <f t="shared" si="51"/>
        <v>0</v>
      </c>
      <c r="H114">
        <f t="shared" si="51"/>
        <v>3</v>
      </c>
      <c r="I114">
        <f t="shared" si="51"/>
        <v>3</v>
      </c>
      <c r="J114">
        <f t="shared" si="51"/>
        <v>3</v>
      </c>
      <c r="K114">
        <f t="shared" si="51"/>
        <v>3</v>
      </c>
      <c r="L114">
        <f t="shared" si="51"/>
        <v>3</v>
      </c>
      <c r="M114">
        <f t="shared" si="51"/>
        <v>3</v>
      </c>
      <c r="N114">
        <f t="shared" si="51"/>
        <v>3</v>
      </c>
      <c r="O114">
        <f t="shared" si="51"/>
        <v>3</v>
      </c>
      <c r="P114">
        <f t="shared" si="51"/>
        <v>3</v>
      </c>
      <c r="Q114">
        <f t="shared" si="51"/>
        <v>3</v>
      </c>
      <c r="R114">
        <f t="shared" si="51"/>
        <v>3</v>
      </c>
      <c r="S114">
        <f t="shared" si="51"/>
        <v>3</v>
      </c>
      <c r="T114">
        <f t="shared" si="51"/>
        <v>3</v>
      </c>
      <c r="U114">
        <f t="shared" si="51"/>
        <v>3</v>
      </c>
      <c r="V114">
        <f t="shared" si="51"/>
        <v>3</v>
      </c>
      <c r="W114">
        <f t="shared" si="51"/>
        <v>3</v>
      </c>
      <c r="X114">
        <f t="shared" si="51"/>
        <v>3</v>
      </c>
      <c r="Y114">
        <f t="shared" si="51"/>
        <v>3</v>
      </c>
      <c r="Z114">
        <f t="shared" si="51"/>
        <v>3</v>
      </c>
      <c r="AA114">
        <f t="shared" si="51"/>
        <v>3</v>
      </c>
      <c r="AB114">
        <f t="shared" si="51"/>
        <v>3</v>
      </c>
      <c r="AC114">
        <f t="shared" si="51"/>
        <v>3</v>
      </c>
      <c r="AD114">
        <f t="shared" si="51"/>
        <v>3</v>
      </c>
      <c r="AE114">
        <f t="shared" si="51"/>
        <v>3</v>
      </c>
      <c r="AF114">
        <f t="shared" si="51"/>
        <v>3</v>
      </c>
      <c r="AG114">
        <f t="shared" si="51"/>
        <v>3</v>
      </c>
      <c r="AH114">
        <f t="shared" si="51"/>
        <v>3</v>
      </c>
      <c r="AI114" t="s">
        <v>1</v>
      </c>
      <c r="AJ114" t="str">
        <f>"0"&amp;DEC2HEX(A114*64+B114*16+C114*4+D114)&amp;"h"</f>
        <v>033h</v>
      </c>
      <c r="AK114" t="s">
        <v>0</v>
      </c>
      <c r="AN114" t="str">
        <f>"0"&amp;DEC2HEX(E114*64+F114*16+G114*4+H114)&amp;"h"</f>
        <v>033h</v>
      </c>
      <c r="AW114" t="str">
        <f>_xlfn.CONCAT(AI114:AV114)</f>
        <v>db 033h,033h</v>
      </c>
    </row>
    <row r="115" spans="1:49" x14ac:dyDescent="0.2">
      <c r="A115">
        <f t="shared" ref="A115:AH115" si="52">IF(A124&gt;0,0,3)</f>
        <v>3</v>
      </c>
      <c r="B115">
        <f t="shared" si="52"/>
        <v>3</v>
      </c>
      <c r="C115">
        <f t="shared" si="52"/>
        <v>3</v>
      </c>
      <c r="D115">
        <f t="shared" si="52"/>
        <v>3</v>
      </c>
      <c r="E115">
        <f t="shared" si="52"/>
        <v>0</v>
      </c>
      <c r="F115">
        <f t="shared" si="52"/>
        <v>3</v>
      </c>
      <c r="G115">
        <f t="shared" si="52"/>
        <v>3</v>
      </c>
      <c r="H115">
        <f t="shared" si="52"/>
        <v>0</v>
      </c>
      <c r="I115">
        <f t="shared" si="52"/>
        <v>3</v>
      </c>
      <c r="J115">
        <f t="shared" si="52"/>
        <v>3</v>
      </c>
      <c r="K115">
        <f t="shared" si="52"/>
        <v>3</v>
      </c>
      <c r="L115">
        <f t="shared" si="52"/>
        <v>3</v>
      </c>
      <c r="M115">
        <f t="shared" si="52"/>
        <v>3</v>
      </c>
      <c r="N115">
        <f t="shared" si="52"/>
        <v>3</v>
      </c>
      <c r="O115">
        <f t="shared" si="52"/>
        <v>3</v>
      </c>
      <c r="P115">
        <f t="shared" si="52"/>
        <v>3</v>
      </c>
      <c r="Q115">
        <f t="shared" si="52"/>
        <v>3</v>
      </c>
      <c r="R115">
        <f t="shared" si="52"/>
        <v>3</v>
      </c>
      <c r="S115">
        <f t="shared" si="52"/>
        <v>3</v>
      </c>
      <c r="T115">
        <f t="shared" si="52"/>
        <v>3</v>
      </c>
      <c r="U115">
        <f t="shared" si="52"/>
        <v>3</v>
      </c>
      <c r="V115">
        <f t="shared" si="52"/>
        <v>3</v>
      </c>
      <c r="W115">
        <f t="shared" si="52"/>
        <v>3</v>
      </c>
      <c r="X115">
        <f t="shared" si="52"/>
        <v>3</v>
      </c>
      <c r="Y115">
        <f t="shared" si="52"/>
        <v>3</v>
      </c>
      <c r="Z115">
        <f t="shared" si="52"/>
        <v>3</v>
      </c>
      <c r="AA115">
        <f t="shared" si="52"/>
        <v>3</v>
      </c>
      <c r="AB115">
        <f t="shared" si="52"/>
        <v>3</v>
      </c>
      <c r="AC115">
        <f t="shared" si="52"/>
        <v>3</v>
      </c>
      <c r="AD115">
        <f t="shared" si="52"/>
        <v>3</v>
      </c>
      <c r="AE115">
        <f t="shared" si="52"/>
        <v>3</v>
      </c>
      <c r="AF115">
        <f t="shared" si="52"/>
        <v>3</v>
      </c>
      <c r="AG115">
        <f t="shared" si="52"/>
        <v>3</v>
      </c>
      <c r="AH115">
        <f t="shared" si="52"/>
        <v>3</v>
      </c>
      <c r="AI115" t="s">
        <v>1</v>
      </c>
      <c r="AJ115" t="str">
        <f>"0"&amp;DEC2HEX(A115*64+B115*16+C115*4+D115)&amp;"h"</f>
        <v>0FFh</v>
      </c>
      <c r="AK115" t="s">
        <v>0</v>
      </c>
      <c r="AN115" t="str">
        <f>"0"&amp;DEC2HEX(E115*64+F115*16+G115*4+H115)&amp;"h"</f>
        <v>03Ch</v>
      </c>
      <c r="AW115" t="str">
        <f>_xlfn.CONCAT(AI115:AV115)</f>
        <v>db 0FFh,03Ch</v>
      </c>
    </row>
    <row r="116" spans="1:49" x14ac:dyDescent="0.2">
      <c r="A116">
        <f t="shared" ref="A116:AH116" si="53">IF(A125&gt;0,0,3)</f>
        <v>3</v>
      </c>
      <c r="B116">
        <f t="shared" si="53"/>
        <v>3</v>
      </c>
      <c r="C116">
        <f t="shared" si="53"/>
        <v>0</v>
      </c>
      <c r="D116">
        <f t="shared" si="53"/>
        <v>0</v>
      </c>
      <c r="E116">
        <f t="shared" si="53"/>
        <v>3</v>
      </c>
      <c r="F116">
        <f t="shared" si="53"/>
        <v>3</v>
      </c>
      <c r="G116">
        <f t="shared" si="53"/>
        <v>0</v>
      </c>
      <c r="H116">
        <f t="shared" si="53"/>
        <v>3</v>
      </c>
      <c r="I116">
        <f t="shared" si="53"/>
        <v>3</v>
      </c>
      <c r="J116">
        <f t="shared" si="53"/>
        <v>3</v>
      </c>
      <c r="K116">
        <f t="shared" si="53"/>
        <v>3</v>
      </c>
      <c r="L116">
        <f t="shared" si="53"/>
        <v>3</v>
      </c>
      <c r="M116">
        <f t="shared" si="53"/>
        <v>3</v>
      </c>
      <c r="N116">
        <f t="shared" si="53"/>
        <v>3</v>
      </c>
      <c r="O116">
        <f t="shared" si="53"/>
        <v>3</v>
      </c>
      <c r="P116">
        <f t="shared" si="53"/>
        <v>3</v>
      </c>
      <c r="Q116">
        <f t="shared" si="53"/>
        <v>3</v>
      </c>
      <c r="R116">
        <f t="shared" si="53"/>
        <v>3</v>
      </c>
      <c r="S116">
        <f t="shared" si="53"/>
        <v>3</v>
      </c>
      <c r="T116">
        <f t="shared" si="53"/>
        <v>3</v>
      </c>
      <c r="U116">
        <f t="shared" si="53"/>
        <v>3</v>
      </c>
      <c r="V116">
        <f t="shared" si="53"/>
        <v>3</v>
      </c>
      <c r="W116">
        <f t="shared" si="53"/>
        <v>3</v>
      </c>
      <c r="X116">
        <f t="shared" si="53"/>
        <v>3</v>
      </c>
      <c r="Y116">
        <f t="shared" si="53"/>
        <v>3</v>
      </c>
      <c r="Z116">
        <f t="shared" si="53"/>
        <v>3</v>
      </c>
      <c r="AA116">
        <f t="shared" si="53"/>
        <v>3</v>
      </c>
      <c r="AB116">
        <f t="shared" si="53"/>
        <v>3</v>
      </c>
      <c r="AC116">
        <f t="shared" si="53"/>
        <v>3</v>
      </c>
      <c r="AD116">
        <f t="shared" si="53"/>
        <v>3</v>
      </c>
      <c r="AE116">
        <f t="shared" si="53"/>
        <v>3</v>
      </c>
      <c r="AF116">
        <f t="shared" si="53"/>
        <v>3</v>
      </c>
      <c r="AG116">
        <f t="shared" si="53"/>
        <v>3</v>
      </c>
      <c r="AH116">
        <f t="shared" si="53"/>
        <v>3</v>
      </c>
      <c r="AI116" t="s">
        <v>1</v>
      </c>
      <c r="AJ116" t="str">
        <f>"0"&amp;DEC2HEX(A116*64+B116*16+C116*4+D116)&amp;"h"</f>
        <v>0F0h</v>
      </c>
      <c r="AK116" t="s">
        <v>0</v>
      </c>
      <c r="AN116" t="str">
        <f>"0"&amp;DEC2HEX(E116*64+F116*16+G116*4+H116)&amp;"h"</f>
        <v>0F3h</v>
      </c>
      <c r="AW116" t="str">
        <f>_xlfn.CONCAT(AI116:AV116)</f>
        <v>db 0F0h,0F3h</v>
      </c>
    </row>
    <row r="117" spans="1:49" x14ac:dyDescent="0.2">
      <c r="A117">
        <f t="shared" ref="A117:AH117" si="54">IF(A126&gt;0,0,3)</f>
        <v>3</v>
      </c>
      <c r="B117">
        <f t="shared" si="54"/>
        <v>0</v>
      </c>
      <c r="C117">
        <f t="shared" si="54"/>
        <v>3</v>
      </c>
      <c r="D117">
        <f t="shared" si="54"/>
        <v>3</v>
      </c>
      <c r="E117">
        <f t="shared" si="54"/>
        <v>3</v>
      </c>
      <c r="F117">
        <f t="shared" si="54"/>
        <v>0</v>
      </c>
      <c r="G117">
        <f t="shared" si="54"/>
        <v>0</v>
      </c>
      <c r="H117">
        <f t="shared" si="54"/>
        <v>3</v>
      </c>
      <c r="I117">
        <f t="shared" si="54"/>
        <v>3</v>
      </c>
      <c r="J117">
        <f t="shared" si="54"/>
        <v>3</v>
      </c>
      <c r="K117">
        <f t="shared" si="54"/>
        <v>3</v>
      </c>
      <c r="L117">
        <f t="shared" si="54"/>
        <v>3</v>
      </c>
      <c r="M117">
        <f t="shared" si="54"/>
        <v>3</v>
      </c>
      <c r="N117">
        <f t="shared" si="54"/>
        <v>3</v>
      </c>
      <c r="O117">
        <f t="shared" si="54"/>
        <v>3</v>
      </c>
      <c r="P117">
        <f t="shared" si="54"/>
        <v>3</v>
      </c>
      <c r="Q117">
        <f t="shared" si="54"/>
        <v>3</v>
      </c>
      <c r="R117">
        <f t="shared" si="54"/>
        <v>3</v>
      </c>
      <c r="S117">
        <f t="shared" si="54"/>
        <v>3</v>
      </c>
      <c r="T117">
        <f t="shared" si="54"/>
        <v>3</v>
      </c>
      <c r="U117">
        <f t="shared" si="54"/>
        <v>3</v>
      </c>
      <c r="V117">
        <f t="shared" si="54"/>
        <v>3</v>
      </c>
      <c r="W117">
        <f t="shared" si="54"/>
        <v>3</v>
      </c>
      <c r="X117">
        <f t="shared" si="54"/>
        <v>3</v>
      </c>
      <c r="Y117">
        <f t="shared" si="54"/>
        <v>3</v>
      </c>
      <c r="Z117">
        <f t="shared" si="54"/>
        <v>3</v>
      </c>
      <c r="AA117">
        <f t="shared" si="54"/>
        <v>3</v>
      </c>
      <c r="AB117">
        <f t="shared" si="54"/>
        <v>3</v>
      </c>
      <c r="AC117">
        <f t="shared" si="54"/>
        <v>3</v>
      </c>
      <c r="AD117">
        <f t="shared" si="54"/>
        <v>3</v>
      </c>
      <c r="AE117">
        <f t="shared" si="54"/>
        <v>3</v>
      </c>
      <c r="AF117">
        <f t="shared" si="54"/>
        <v>3</v>
      </c>
      <c r="AG117">
        <f t="shared" si="54"/>
        <v>3</v>
      </c>
      <c r="AH117">
        <f t="shared" si="54"/>
        <v>3</v>
      </c>
      <c r="AI117" t="s">
        <v>1</v>
      </c>
      <c r="AJ117" t="str">
        <f>"0"&amp;DEC2HEX(A117*64+B117*16+C117*4+D117)&amp;"h"</f>
        <v>0CFh</v>
      </c>
      <c r="AK117" t="s">
        <v>0</v>
      </c>
      <c r="AN117" t="str">
        <f>"0"&amp;DEC2HEX(E117*64+F117*16+G117*4+H117)&amp;"h"</f>
        <v>0C3h</v>
      </c>
      <c r="AW117" t="str">
        <f>_xlfn.CONCAT(AI117:AV117)</f>
        <v>db 0CFh,0C3h</v>
      </c>
    </row>
    <row r="118" spans="1:49" x14ac:dyDescent="0.2">
      <c r="A118">
        <f t="shared" ref="A118:AH118" si="55">IF(A127&gt;0,0,3)</f>
        <v>3</v>
      </c>
      <c r="B118">
        <f t="shared" si="55"/>
        <v>3</v>
      </c>
      <c r="C118">
        <f t="shared" si="55"/>
        <v>3</v>
      </c>
      <c r="D118">
        <f t="shared" si="55"/>
        <v>0</v>
      </c>
      <c r="E118">
        <f t="shared" si="55"/>
        <v>3</v>
      </c>
      <c r="F118">
        <f t="shared" si="55"/>
        <v>3</v>
      </c>
      <c r="G118">
        <f t="shared" si="55"/>
        <v>3</v>
      </c>
      <c r="H118">
        <f t="shared" si="55"/>
        <v>3</v>
      </c>
      <c r="I118">
        <f t="shared" si="55"/>
        <v>3</v>
      </c>
      <c r="J118">
        <f t="shared" si="55"/>
        <v>3</v>
      </c>
      <c r="K118">
        <f t="shared" si="55"/>
        <v>3</v>
      </c>
      <c r="L118">
        <f t="shared" si="55"/>
        <v>3</v>
      </c>
      <c r="M118">
        <f t="shared" si="55"/>
        <v>3</v>
      </c>
      <c r="N118">
        <f t="shared" si="55"/>
        <v>3</v>
      </c>
      <c r="O118">
        <f t="shared" si="55"/>
        <v>3</v>
      </c>
      <c r="P118">
        <f t="shared" si="55"/>
        <v>3</v>
      </c>
      <c r="Q118">
        <f t="shared" si="55"/>
        <v>3</v>
      </c>
      <c r="R118">
        <f t="shared" si="55"/>
        <v>3</v>
      </c>
      <c r="S118">
        <f t="shared" si="55"/>
        <v>3</v>
      </c>
      <c r="T118">
        <f t="shared" si="55"/>
        <v>3</v>
      </c>
      <c r="U118">
        <f t="shared" si="55"/>
        <v>3</v>
      </c>
      <c r="V118">
        <f t="shared" si="55"/>
        <v>3</v>
      </c>
      <c r="W118">
        <f t="shared" si="55"/>
        <v>3</v>
      </c>
      <c r="X118">
        <f t="shared" si="55"/>
        <v>3</v>
      </c>
      <c r="Y118">
        <f t="shared" si="55"/>
        <v>3</v>
      </c>
      <c r="Z118">
        <f t="shared" si="55"/>
        <v>3</v>
      </c>
      <c r="AA118">
        <f t="shared" si="55"/>
        <v>3</v>
      </c>
      <c r="AB118">
        <f t="shared" si="55"/>
        <v>3</v>
      </c>
      <c r="AC118">
        <f t="shared" si="55"/>
        <v>3</v>
      </c>
      <c r="AD118">
        <f t="shared" si="55"/>
        <v>3</v>
      </c>
      <c r="AE118">
        <f t="shared" si="55"/>
        <v>3</v>
      </c>
      <c r="AF118">
        <f t="shared" si="55"/>
        <v>3</v>
      </c>
      <c r="AG118">
        <f t="shared" si="55"/>
        <v>3</v>
      </c>
      <c r="AH118">
        <f t="shared" si="55"/>
        <v>3</v>
      </c>
      <c r="AI118" t="s">
        <v>1</v>
      </c>
      <c r="AJ118" t="str">
        <f>"0"&amp;DEC2HEX(A118*64+B118*16+C118*4+D118)&amp;"h"</f>
        <v>0FCh</v>
      </c>
      <c r="AK118" t="s">
        <v>0</v>
      </c>
      <c r="AN118" t="str">
        <f>"0"&amp;DEC2HEX(E118*64+F118*16+G118*4+H118)&amp;"h"</f>
        <v>0FFh</v>
      </c>
      <c r="AW118" t="str">
        <f>_xlfn.CONCAT(AI118:AV118)</f>
        <v>db 0FCh,0FFh</v>
      </c>
    </row>
    <row r="119" spans="1:49" x14ac:dyDescent="0.2">
      <c r="A119">
        <v>3</v>
      </c>
      <c r="E119">
        <v>3</v>
      </c>
      <c r="I119">
        <v>3</v>
      </c>
      <c r="M119">
        <v>3</v>
      </c>
      <c r="Q119">
        <v>3</v>
      </c>
    </row>
    <row r="120" spans="1:49" x14ac:dyDescent="0.2">
      <c r="C120">
        <v>1</v>
      </c>
      <c r="F120">
        <v>1</v>
      </c>
      <c r="AI120" t="s">
        <v>1</v>
      </c>
      <c r="AJ120" t="str">
        <f>"0"&amp;DEC2HEX(A120*64+B120*16+C120*4+D120)&amp;"h"</f>
        <v>04h</v>
      </c>
      <c r="AK120" t="s">
        <v>0</v>
      </c>
      <c r="AN120" t="str">
        <f>"0"&amp;DEC2HEX(E120*64+F120*16+G120*4+H120)&amp;"h"</f>
        <v>010h</v>
      </c>
      <c r="AW120" t="str">
        <f>_xlfn.CONCAT(AI120:AV120)</f>
        <v>db 04h,010h</v>
      </c>
    </row>
    <row r="121" spans="1:49" x14ac:dyDescent="0.2">
      <c r="B121">
        <v>1</v>
      </c>
      <c r="E121">
        <v>2</v>
      </c>
      <c r="G121">
        <v>1</v>
      </c>
      <c r="AI121" t="s">
        <v>1</v>
      </c>
      <c r="AJ121" t="str">
        <f>"0"&amp;DEC2HEX(A121*64+B121*16+C121*4+D121)&amp;"h"</f>
        <v>010h</v>
      </c>
      <c r="AK121" t="s">
        <v>0</v>
      </c>
      <c r="AN121" t="str">
        <f>"0"&amp;DEC2HEX(E121*64+F121*16+G121*4+H121)&amp;"h"</f>
        <v>084h</v>
      </c>
      <c r="AW121" t="str">
        <f>_xlfn.CONCAT(AI121:AV121)</f>
        <v>db 010h,084h</v>
      </c>
    </row>
    <row r="122" spans="1:49" x14ac:dyDescent="0.2">
      <c r="B122">
        <v>2</v>
      </c>
      <c r="D122">
        <v>2</v>
      </c>
      <c r="E122">
        <v>1</v>
      </c>
      <c r="G122">
        <v>2</v>
      </c>
      <c r="AI122" t="s">
        <v>1</v>
      </c>
      <c r="AJ122" t="str">
        <f>"0"&amp;DEC2HEX(A122*64+B122*16+C122*4+D122)&amp;"h"</f>
        <v>022h</v>
      </c>
      <c r="AK122" t="s">
        <v>0</v>
      </c>
      <c r="AN122" t="str">
        <f>"0"&amp;DEC2HEX(E122*64+F122*16+G122*4+H122)&amp;"h"</f>
        <v>048h</v>
      </c>
      <c r="AW122" t="str">
        <f>_xlfn.CONCAT(AI122:AV122)</f>
        <v>db 022h,048h</v>
      </c>
    </row>
    <row r="123" spans="1:49" x14ac:dyDescent="0.2">
      <c r="A123">
        <v>1</v>
      </c>
      <c r="C123">
        <v>2</v>
      </c>
      <c r="E123">
        <v>3</v>
      </c>
      <c r="G123">
        <v>1</v>
      </c>
      <c r="AI123" t="s">
        <v>1</v>
      </c>
      <c r="AJ123" t="str">
        <f>"0"&amp;DEC2HEX(A123*64+B123*16+C123*4+D123)&amp;"h"</f>
        <v>048h</v>
      </c>
      <c r="AK123" t="s">
        <v>0</v>
      </c>
      <c r="AN123" t="str">
        <f>"0"&amp;DEC2HEX(E123*64+F123*16+G123*4+H123)&amp;"h"</f>
        <v>0C4h</v>
      </c>
      <c r="AW123" t="str">
        <f>_xlfn.CONCAT(AI123:AV123)</f>
        <v>db 048h,0C4h</v>
      </c>
    </row>
    <row r="124" spans="1:49" x14ac:dyDescent="0.2">
      <c r="E124">
        <v>2</v>
      </c>
      <c r="H124">
        <v>1</v>
      </c>
      <c r="AI124" t="s">
        <v>1</v>
      </c>
      <c r="AJ124" t="str">
        <f>"0"&amp;DEC2HEX(A124*64+B124*16+C124*4+D124)&amp;"h"</f>
        <v>00h</v>
      </c>
      <c r="AK124" t="s">
        <v>0</v>
      </c>
      <c r="AN124" t="str">
        <f>"0"&amp;DEC2HEX(E124*64+F124*16+G124*4+H124)&amp;"h"</f>
        <v>081h</v>
      </c>
      <c r="AW124" t="str">
        <f>_xlfn.CONCAT(AI124:AV124)</f>
        <v>db 00h,081h</v>
      </c>
    </row>
    <row r="125" spans="1:49" x14ac:dyDescent="0.2">
      <c r="C125">
        <v>1</v>
      </c>
      <c r="D125">
        <v>2</v>
      </c>
      <c r="G125">
        <v>3</v>
      </c>
      <c r="AI125" t="s">
        <v>1</v>
      </c>
      <c r="AJ125" t="str">
        <f>"0"&amp;DEC2HEX(A125*64+B125*16+C125*4+D125)&amp;"h"</f>
        <v>06h</v>
      </c>
      <c r="AK125" t="s">
        <v>0</v>
      </c>
      <c r="AN125" t="str">
        <f>"0"&amp;DEC2HEX(E125*64+F125*16+G125*4+H125)&amp;"h"</f>
        <v>0Ch</v>
      </c>
      <c r="AW125" t="str">
        <f>_xlfn.CONCAT(AI125:AV125)</f>
        <v>db 06h,0Ch</v>
      </c>
    </row>
    <row r="126" spans="1:49" x14ac:dyDescent="0.2">
      <c r="B126">
        <v>1</v>
      </c>
      <c r="F126">
        <v>1</v>
      </c>
      <c r="G126">
        <v>2</v>
      </c>
      <c r="AI126" t="s">
        <v>1</v>
      </c>
      <c r="AJ126" t="str">
        <f>"0"&amp;DEC2HEX(A126*64+B126*16+C126*4+D126)&amp;"h"</f>
        <v>010h</v>
      </c>
      <c r="AK126" t="s">
        <v>0</v>
      </c>
      <c r="AN126" t="str">
        <f>"0"&amp;DEC2HEX(E126*64+F126*16+G126*4+H126)&amp;"h"</f>
        <v>018h</v>
      </c>
      <c r="AW126" t="str">
        <f>_xlfn.CONCAT(AI126:AV126)</f>
        <v>db 010h,018h</v>
      </c>
    </row>
    <row r="127" spans="1:49" x14ac:dyDescent="0.2">
      <c r="D127">
        <v>1</v>
      </c>
      <c r="AI127" t="s">
        <v>1</v>
      </c>
      <c r="AJ127" t="str">
        <f>"0"&amp;DEC2HEX(A127*64+B127*16+C127*4+D127)&amp;"h"</f>
        <v>01h</v>
      </c>
      <c r="AK127" t="s">
        <v>0</v>
      </c>
      <c r="AN127" t="str">
        <f>"0"&amp;DEC2HEX(E127*64+F127*16+G127*4+H127)&amp;"h"</f>
        <v>00h</v>
      </c>
      <c r="AW127" t="str">
        <f>_xlfn.CONCAT(AI127:AV127)</f>
        <v>db 01h,00h</v>
      </c>
    </row>
    <row r="128" spans="1:49" x14ac:dyDescent="0.2">
      <c r="AI128" s="1" t="s">
        <v>14</v>
      </c>
    </row>
    <row r="129" spans="1:49" x14ac:dyDescent="0.2">
      <c r="A129">
        <f>IF(A138&gt;0,0,3)</f>
        <v>0</v>
      </c>
      <c r="B129">
        <f t="shared" ref="B129:AH129" si="56">IF(B138&gt;0,0,3)</f>
        <v>3</v>
      </c>
      <c r="C129">
        <f t="shared" si="56"/>
        <v>3</v>
      </c>
      <c r="D129">
        <f t="shared" si="56"/>
        <v>3</v>
      </c>
      <c r="E129">
        <f t="shared" si="56"/>
        <v>3</v>
      </c>
      <c r="F129">
        <f t="shared" si="56"/>
        <v>0</v>
      </c>
      <c r="G129">
        <f t="shared" si="56"/>
        <v>3</v>
      </c>
      <c r="H129">
        <f t="shared" si="56"/>
        <v>3</v>
      </c>
      <c r="I129">
        <f t="shared" si="56"/>
        <v>3</v>
      </c>
      <c r="J129">
        <f t="shared" si="56"/>
        <v>3</v>
      </c>
      <c r="K129">
        <f t="shared" si="56"/>
        <v>3</v>
      </c>
      <c r="L129">
        <f t="shared" si="56"/>
        <v>3</v>
      </c>
      <c r="M129">
        <f t="shared" si="56"/>
        <v>3</v>
      </c>
      <c r="N129">
        <f t="shared" si="56"/>
        <v>3</v>
      </c>
      <c r="O129">
        <f t="shared" si="56"/>
        <v>3</v>
      </c>
      <c r="P129">
        <f t="shared" si="56"/>
        <v>3</v>
      </c>
      <c r="Q129">
        <f t="shared" si="56"/>
        <v>3</v>
      </c>
      <c r="R129">
        <f t="shared" si="56"/>
        <v>3</v>
      </c>
      <c r="S129">
        <f t="shared" si="56"/>
        <v>3</v>
      </c>
      <c r="T129">
        <f t="shared" si="56"/>
        <v>3</v>
      </c>
      <c r="U129">
        <f t="shared" si="56"/>
        <v>3</v>
      </c>
      <c r="V129">
        <f t="shared" si="56"/>
        <v>3</v>
      </c>
      <c r="W129">
        <f t="shared" si="56"/>
        <v>3</v>
      </c>
      <c r="X129">
        <f t="shared" si="56"/>
        <v>3</v>
      </c>
      <c r="Y129">
        <f t="shared" si="56"/>
        <v>3</v>
      </c>
      <c r="Z129">
        <f t="shared" si="56"/>
        <v>3</v>
      </c>
      <c r="AA129">
        <f t="shared" si="56"/>
        <v>3</v>
      </c>
      <c r="AB129">
        <f t="shared" si="56"/>
        <v>3</v>
      </c>
      <c r="AC129">
        <f t="shared" si="56"/>
        <v>3</v>
      </c>
      <c r="AD129">
        <f t="shared" si="56"/>
        <v>3</v>
      </c>
      <c r="AE129">
        <f t="shared" si="56"/>
        <v>3</v>
      </c>
      <c r="AF129">
        <f t="shared" si="56"/>
        <v>3</v>
      </c>
      <c r="AG129">
        <f t="shared" si="56"/>
        <v>3</v>
      </c>
      <c r="AH129">
        <f t="shared" si="56"/>
        <v>3</v>
      </c>
      <c r="AI129" t="s">
        <v>1</v>
      </c>
      <c r="AJ129" t="str">
        <f>"0"&amp;DEC2HEX(A129*64+B129*16+C129*4+D129)&amp;"h"</f>
        <v>03Fh</v>
      </c>
      <c r="AK129" t="s">
        <v>0</v>
      </c>
      <c r="AN129" t="str">
        <f>"0"&amp;DEC2HEX(E129*64+F129*16+G129*4+H129)&amp;"h"</f>
        <v>0CFh</v>
      </c>
      <c r="AW129" t="str">
        <f>_xlfn.CONCAT(AI129:AV129)</f>
        <v>db 03Fh,0CFh</v>
      </c>
    </row>
    <row r="130" spans="1:49" x14ac:dyDescent="0.2">
      <c r="A130">
        <f t="shared" ref="A130:AH130" si="57">IF(A139&gt;0,0,3)</f>
        <v>3</v>
      </c>
      <c r="B130">
        <f t="shared" si="57"/>
        <v>0</v>
      </c>
      <c r="C130">
        <f t="shared" si="57"/>
        <v>3</v>
      </c>
      <c r="D130">
        <f t="shared" si="57"/>
        <v>0</v>
      </c>
      <c r="E130">
        <f t="shared" si="57"/>
        <v>3</v>
      </c>
      <c r="F130">
        <f t="shared" si="57"/>
        <v>3</v>
      </c>
      <c r="G130">
        <f t="shared" si="57"/>
        <v>0</v>
      </c>
      <c r="H130">
        <f t="shared" si="57"/>
        <v>3</v>
      </c>
      <c r="I130">
        <f t="shared" si="57"/>
        <v>3</v>
      </c>
      <c r="J130">
        <f t="shared" si="57"/>
        <v>3</v>
      </c>
      <c r="K130">
        <f t="shared" si="57"/>
        <v>3</v>
      </c>
      <c r="L130">
        <f t="shared" si="57"/>
        <v>3</v>
      </c>
      <c r="M130">
        <f t="shared" si="57"/>
        <v>3</v>
      </c>
      <c r="N130">
        <f t="shared" si="57"/>
        <v>3</v>
      </c>
      <c r="O130">
        <f t="shared" si="57"/>
        <v>3</v>
      </c>
      <c r="P130">
        <f t="shared" si="57"/>
        <v>3</v>
      </c>
      <c r="Q130">
        <f t="shared" si="57"/>
        <v>3</v>
      </c>
      <c r="R130">
        <f t="shared" si="57"/>
        <v>3</v>
      </c>
      <c r="S130">
        <f t="shared" si="57"/>
        <v>3</v>
      </c>
      <c r="T130">
        <f t="shared" si="57"/>
        <v>3</v>
      </c>
      <c r="U130">
        <f t="shared" si="57"/>
        <v>3</v>
      </c>
      <c r="V130">
        <f t="shared" si="57"/>
        <v>3</v>
      </c>
      <c r="W130">
        <f t="shared" si="57"/>
        <v>3</v>
      </c>
      <c r="X130">
        <f t="shared" si="57"/>
        <v>3</v>
      </c>
      <c r="Y130">
        <f t="shared" si="57"/>
        <v>3</v>
      </c>
      <c r="Z130">
        <f t="shared" si="57"/>
        <v>3</v>
      </c>
      <c r="AA130">
        <f t="shared" si="57"/>
        <v>3</v>
      </c>
      <c r="AB130">
        <f t="shared" si="57"/>
        <v>3</v>
      </c>
      <c r="AC130">
        <f t="shared" si="57"/>
        <v>3</v>
      </c>
      <c r="AD130">
        <f t="shared" si="57"/>
        <v>3</v>
      </c>
      <c r="AE130">
        <f t="shared" si="57"/>
        <v>3</v>
      </c>
      <c r="AF130">
        <f t="shared" si="57"/>
        <v>3</v>
      </c>
      <c r="AG130">
        <f t="shared" si="57"/>
        <v>3</v>
      </c>
      <c r="AH130">
        <f t="shared" si="57"/>
        <v>3</v>
      </c>
      <c r="AI130" t="s">
        <v>1</v>
      </c>
      <c r="AJ130" t="str">
        <f>"0"&amp;DEC2HEX(A130*64+B130*16+C130*4+D130)&amp;"h"</f>
        <v>0CCh</v>
      </c>
      <c r="AK130" t="s">
        <v>0</v>
      </c>
      <c r="AN130" t="str">
        <f>"0"&amp;DEC2HEX(E130*64+F130*16+G130*4+H130)&amp;"h"</f>
        <v>0F3h</v>
      </c>
      <c r="AW130" t="str">
        <f>_xlfn.CONCAT(AI130:AV130)</f>
        <v>db 0CCh,0F3h</v>
      </c>
    </row>
    <row r="131" spans="1:49" x14ac:dyDescent="0.2">
      <c r="A131">
        <f t="shared" ref="A131:AH131" si="58">IF(A140&gt;0,0,3)</f>
        <v>3</v>
      </c>
      <c r="B131">
        <f t="shared" si="58"/>
        <v>3</v>
      </c>
      <c r="C131">
        <f t="shared" si="58"/>
        <v>3</v>
      </c>
      <c r="D131">
        <f t="shared" si="58"/>
        <v>3</v>
      </c>
      <c r="E131">
        <f t="shared" si="58"/>
        <v>0</v>
      </c>
      <c r="F131">
        <f t="shared" si="58"/>
        <v>3</v>
      </c>
      <c r="G131">
        <f t="shared" si="58"/>
        <v>3</v>
      </c>
      <c r="H131">
        <f t="shared" si="58"/>
        <v>0</v>
      </c>
      <c r="I131">
        <f t="shared" si="58"/>
        <v>3</v>
      </c>
      <c r="J131">
        <f t="shared" si="58"/>
        <v>3</v>
      </c>
      <c r="K131">
        <f t="shared" si="58"/>
        <v>3</v>
      </c>
      <c r="L131">
        <f t="shared" si="58"/>
        <v>3</v>
      </c>
      <c r="M131">
        <f t="shared" si="58"/>
        <v>3</v>
      </c>
      <c r="N131">
        <f t="shared" si="58"/>
        <v>3</v>
      </c>
      <c r="O131">
        <f t="shared" si="58"/>
        <v>3</v>
      </c>
      <c r="P131">
        <f t="shared" si="58"/>
        <v>3</v>
      </c>
      <c r="Q131">
        <f t="shared" si="58"/>
        <v>3</v>
      </c>
      <c r="R131">
        <f t="shared" si="58"/>
        <v>3</v>
      </c>
      <c r="S131">
        <f t="shared" si="58"/>
        <v>3</v>
      </c>
      <c r="T131">
        <f t="shared" si="58"/>
        <v>3</v>
      </c>
      <c r="U131">
        <f t="shared" si="58"/>
        <v>3</v>
      </c>
      <c r="V131">
        <f t="shared" si="58"/>
        <v>3</v>
      </c>
      <c r="W131">
        <f t="shared" si="58"/>
        <v>3</v>
      </c>
      <c r="X131">
        <f t="shared" si="58"/>
        <v>3</v>
      </c>
      <c r="Y131">
        <f t="shared" si="58"/>
        <v>3</v>
      </c>
      <c r="Z131">
        <f t="shared" si="58"/>
        <v>3</v>
      </c>
      <c r="AA131">
        <f t="shared" si="58"/>
        <v>3</v>
      </c>
      <c r="AB131">
        <f t="shared" si="58"/>
        <v>3</v>
      </c>
      <c r="AC131">
        <f t="shared" si="58"/>
        <v>3</v>
      </c>
      <c r="AD131">
        <f t="shared" si="58"/>
        <v>3</v>
      </c>
      <c r="AE131">
        <f t="shared" si="58"/>
        <v>3</v>
      </c>
      <c r="AF131">
        <f t="shared" si="58"/>
        <v>3</v>
      </c>
      <c r="AG131">
        <f t="shared" si="58"/>
        <v>3</v>
      </c>
      <c r="AH131">
        <f t="shared" si="58"/>
        <v>3</v>
      </c>
      <c r="AI131" t="s">
        <v>1</v>
      </c>
      <c r="AJ131" t="str">
        <f>"0"&amp;DEC2HEX(A131*64+B131*16+C131*4+D131)&amp;"h"</f>
        <v>0FFh</v>
      </c>
      <c r="AK131" t="s">
        <v>0</v>
      </c>
      <c r="AN131" t="str">
        <f>"0"&amp;DEC2HEX(E131*64+F131*16+G131*4+H131)&amp;"h"</f>
        <v>03Ch</v>
      </c>
      <c r="AW131" t="str">
        <f>_xlfn.CONCAT(AI131:AV131)</f>
        <v>db 0FFh,03Ch</v>
      </c>
    </row>
    <row r="132" spans="1:49" x14ac:dyDescent="0.2">
      <c r="A132">
        <f t="shared" ref="A132:AH132" si="59">IF(A141&gt;0,0,3)</f>
        <v>0</v>
      </c>
      <c r="B132">
        <f t="shared" si="59"/>
        <v>3</v>
      </c>
      <c r="C132">
        <f t="shared" si="59"/>
        <v>0</v>
      </c>
      <c r="D132">
        <f t="shared" si="59"/>
        <v>3</v>
      </c>
      <c r="E132">
        <f t="shared" si="59"/>
        <v>3</v>
      </c>
      <c r="F132">
        <f t="shared" si="59"/>
        <v>0</v>
      </c>
      <c r="G132">
        <f t="shared" si="59"/>
        <v>3</v>
      </c>
      <c r="H132">
        <f t="shared" si="59"/>
        <v>3</v>
      </c>
      <c r="I132">
        <f t="shared" si="59"/>
        <v>3</v>
      </c>
      <c r="J132">
        <f t="shared" si="59"/>
        <v>3</v>
      </c>
      <c r="K132">
        <f t="shared" si="59"/>
        <v>3</v>
      </c>
      <c r="L132">
        <f t="shared" si="59"/>
        <v>3</v>
      </c>
      <c r="M132">
        <f t="shared" si="59"/>
        <v>3</v>
      </c>
      <c r="N132">
        <f t="shared" si="59"/>
        <v>3</v>
      </c>
      <c r="O132">
        <f t="shared" si="59"/>
        <v>3</v>
      </c>
      <c r="P132">
        <f t="shared" si="59"/>
        <v>3</v>
      </c>
      <c r="Q132">
        <f t="shared" si="59"/>
        <v>3</v>
      </c>
      <c r="R132">
        <f t="shared" si="59"/>
        <v>3</v>
      </c>
      <c r="S132">
        <f t="shared" si="59"/>
        <v>3</v>
      </c>
      <c r="T132">
        <f t="shared" si="59"/>
        <v>3</v>
      </c>
      <c r="U132">
        <f t="shared" si="59"/>
        <v>3</v>
      </c>
      <c r="V132">
        <f t="shared" si="59"/>
        <v>3</v>
      </c>
      <c r="W132">
        <f t="shared" si="59"/>
        <v>3</v>
      </c>
      <c r="X132">
        <f t="shared" si="59"/>
        <v>3</v>
      </c>
      <c r="Y132">
        <f t="shared" si="59"/>
        <v>3</v>
      </c>
      <c r="Z132">
        <f t="shared" si="59"/>
        <v>3</v>
      </c>
      <c r="AA132">
        <f t="shared" si="59"/>
        <v>3</v>
      </c>
      <c r="AB132">
        <f t="shared" si="59"/>
        <v>3</v>
      </c>
      <c r="AC132">
        <f t="shared" si="59"/>
        <v>3</v>
      </c>
      <c r="AD132">
        <f t="shared" si="59"/>
        <v>3</v>
      </c>
      <c r="AE132">
        <f t="shared" si="59"/>
        <v>3</v>
      </c>
      <c r="AF132">
        <f t="shared" si="59"/>
        <v>3</v>
      </c>
      <c r="AG132">
        <f t="shared" si="59"/>
        <v>3</v>
      </c>
      <c r="AH132">
        <f t="shared" si="59"/>
        <v>3</v>
      </c>
      <c r="AI132" t="s">
        <v>1</v>
      </c>
      <c r="AJ132" t="str">
        <f>"0"&amp;DEC2HEX(A132*64+B132*16+C132*4+D132)&amp;"h"</f>
        <v>033h</v>
      </c>
      <c r="AK132" t="s">
        <v>0</v>
      </c>
      <c r="AN132" t="str">
        <f>"0"&amp;DEC2HEX(E132*64+F132*16+G132*4+H132)&amp;"h"</f>
        <v>0CFh</v>
      </c>
      <c r="AW132" t="str">
        <f>_xlfn.CONCAT(AI132:AV132)</f>
        <v>db 033h,0CFh</v>
      </c>
    </row>
    <row r="133" spans="1:49" x14ac:dyDescent="0.2">
      <c r="A133">
        <f t="shared" ref="A133:AH133" si="60">IF(A142&gt;0,0,3)</f>
        <v>3</v>
      </c>
      <c r="B133">
        <f t="shared" si="60"/>
        <v>0</v>
      </c>
      <c r="C133">
        <f t="shared" si="60"/>
        <v>3</v>
      </c>
      <c r="D133">
        <f t="shared" si="60"/>
        <v>3</v>
      </c>
      <c r="E133">
        <f t="shared" si="60"/>
        <v>0</v>
      </c>
      <c r="F133">
        <f t="shared" si="60"/>
        <v>3</v>
      </c>
      <c r="G133">
        <f t="shared" si="60"/>
        <v>0</v>
      </c>
      <c r="H133">
        <f t="shared" si="60"/>
        <v>3</v>
      </c>
      <c r="I133">
        <f t="shared" si="60"/>
        <v>3</v>
      </c>
      <c r="J133">
        <f t="shared" si="60"/>
        <v>3</v>
      </c>
      <c r="K133">
        <f t="shared" si="60"/>
        <v>3</v>
      </c>
      <c r="L133">
        <f t="shared" si="60"/>
        <v>3</v>
      </c>
      <c r="M133">
        <f t="shared" si="60"/>
        <v>3</v>
      </c>
      <c r="N133">
        <f t="shared" si="60"/>
        <v>3</v>
      </c>
      <c r="O133">
        <f t="shared" si="60"/>
        <v>3</v>
      </c>
      <c r="P133">
        <f t="shared" si="60"/>
        <v>3</v>
      </c>
      <c r="Q133">
        <f t="shared" si="60"/>
        <v>3</v>
      </c>
      <c r="R133">
        <f t="shared" si="60"/>
        <v>3</v>
      </c>
      <c r="S133">
        <f t="shared" si="60"/>
        <v>3</v>
      </c>
      <c r="T133">
        <f t="shared" si="60"/>
        <v>3</v>
      </c>
      <c r="U133">
        <f t="shared" si="60"/>
        <v>3</v>
      </c>
      <c r="V133">
        <f t="shared" si="60"/>
        <v>3</v>
      </c>
      <c r="W133">
        <f t="shared" si="60"/>
        <v>3</v>
      </c>
      <c r="X133">
        <f t="shared" si="60"/>
        <v>3</v>
      </c>
      <c r="Y133">
        <f t="shared" si="60"/>
        <v>3</v>
      </c>
      <c r="Z133">
        <f t="shared" si="60"/>
        <v>3</v>
      </c>
      <c r="AA133">
        <f t="shared" si="60"/>
        <v>3</v>
      </c>
      <c r="AB133">
        <f t="shared" si="60"/>
        <v>3</v>
      </c>
      <c r="AC133">
        <f t="shared" si="60"/>
        <v>3</v>
      </c>
      <c r="AD133">
        <f t="shared" si="60"/>
        <v>3</v>
      </c>
      <c r="AE133">
        <f t="shared" si="60"/>
        <v>3</v>
      </c>
      <c r="AF133">
        <f t="shared" si="60"/>
        <v>3</v>
      </c>
      <c r="AG133">
        <f t="shared" si="60"/>
        <v>3</v>
      </c>
      <c r="AH133">
        <f t="shared" si="60"/>
        <v>3</v>
      </c>
      <c r="AI133" t="s">
        <v>1</v>
      </c>
      <c r="AJ133" t="str">
        <f>"0"&amp;DEC2HEX(A133*64+B133*16+C133*4+D133)&amp;"h"</f>
        <v>0CFh</v>
      </c>
      <c r="AK133" t="s">
        <v>0</v>
      </c>
      <c r="AN133" t="str">
        <f>"0"&amp;DEC2HEX(E133*64+F133*16+G133*4+H133)&amp;"h"</f>
        <v>033h</v>
      </c>
      <c r="AW133" t="str">
        <f>_xlfn.CONCAT(AI133:AV133)</f>
        <v>db 0CFh,033h</v>
      </c>
    </row>
    <row r="134" spans="1:49" x14ac:dyDescent="0.2">
      <c r="A134">
        <f t="shared" ref="A134:AH134" si="61">IF(A143&gt;0,0,3)</f>
        <v>3</v>
      </c>
      <c r="B134">
        <f t="shared" si="61"/>
        <v>3</v>
      </c>
      <c r="C134">
        <f t="shared" si="61"/>
        <v>0</v>
      </c>
      <c r="D134">
        <f t="shared" si="61"/>
        <v>3</v>
      </c>
      <c r="E134">
        <f t="shared" si="61"/>
        <v>3</v>
      </c>
      <c r="F134">
        <f t="shared" si="61"/>
        <v>0</v>
      </c>
      <c r="G134">
        <f t="shared" si="61"/>
        <v>3</v>
      </c>
      <c r="H134">
        <f t="shared" si="61"/>
        <v>3</v>
      </c>
      <c r="I134">
        <f t="shared" si="61"/>
        <v>3</v>
      </c>
      <c r="J134">
        <f t="shared" si="61"/>
        <v>3</v>
      </c>
      <c r="K134">
        <f t="shared" si="61"/>
        <v>3</v>
      </c>
      <c r="L134">
        <f t="shared" si="61"/>
        <v>3</v>
      </c>
      <c r="M134">
        <f t="shared" si="61"/>
        <v>3</v>
      </c>
      <c r="N134">
        <f t="shared" si="61"/>
        <v>3</v>
      </c>
      <c r="O134">
        <f t="shared" si="61"/>
        <v>3</v>
      </c>
      <c r="P134">
        <f t="shared" si="61"/>
        <v>3</v>
      </c>
      <c r="Q134">
        <f t="shared" si="61"/>
        <v>3</v>
      </c>
      <c r="R134">
        <f t="shared" si="61"/>
        <v>3</v>
      </c>
      <c r="S134">
        <f t="shared" si="61"/>
        <v>3</v>
      </c>
      <c r="T134">
        <f t="shared" si="61"/>
        <v>3</v>
      </c>
      <c r="U134">
        <f t="shared" si="61"/>
        <v>3</v>
      </c>
      <c r="V134">
        <f t="shared" si="61"/>
        <v>3</v>
      </c>
      <c r="W134">
        <f t="shared" si="61"/>
        <v>3</v>
      </c>
      <c r="X134">
        <f t="shared" si="61"/>
        <v>3</v>
      </c>
      <c r="Y134">
        <f t="shared" si="61"/>
        <v>3</v>
      </c>
      <c r="Z134">
        <f t="shared" si="61"/>
        <v>3</v>
      </c>
      <c r="AA134">
        <f t="shared" si="61"/>
        <v>3</v>
      </c>
      <c r="AB134">
        <f t="shared" si="61"/>
        <v>3</v>
      </c>
      <c r="AC134">
        <f t="shared" si="61"/>
        <v>3</v>
      </c>
      <c r="AD134">
        <f t="shared" si="61"/>
        <v>3</v>
      </c>
      <c r="AE134">
        <f t="shared" si="61"/>
        <v>3</v>
      </c>
      <c r="AF134">
        <f t="shared" si="61"/>
        <v>3</v>
      </c>
      <c r="AG134">
        <f t="shared" si="61"/>
        <v>3</v>
      </c>
      <c r="AH134">
        <f t="shared" si="61"/>
        <v>3</v>
      </c>
      <c r="AI134" t="s">
        <v>1</v>
      </c>
      <c r="AJ134" t="str">
        <f>"0"&amp;DEC2HEX(A134*64+B134*16+C134*4+D134)&amp;"h"</f>
        <v>0F3h</v>
      </c>
      <c r="AK134" t="s">
        <v>0</v>
      </c>
      <c r="AN134" t="str">
        <f>"0"&amp;DEC2HEX(E134*64+F134*16+G134*4+H134)&amp;"h"</f>
        <v>0CFh</v>
      </c>
      <c r="AW134" t="str">
        <f>_xlfn.CONCAT(AI134:AV134)</f>
        <v>db 0F3h,0CFh</v>
      </c>
    </row>
    <row r="135" spans="1:49" x14ac:dyDescent="0.2">
      <c r="A135">
        <f t="shared" ref="A135:AH135" si="62">IF(A144&gt;0,0,3)</f>
        <v>3</v>
      </c>
      <c r="B135">
        <f t="shared" si="62"/>
        <v>0</v>
      </c>
      <c r="C135">
        <f t="shared" si="62"/>
        <v>3</v>
      </c>
      <c r="D135">
        <f t="shared" si="62"/>
        <v>3</v>
      </c>
      <c r="E135">
        <f t="shared" si="62"/>
        <v>0</v>
      </c>
      <c r="F135">
        <f t="shared" si="62"/>
        <v>3</v>
      </c>
      <c r="G135">
        <f t="shared" si="62"/>
        <v>3</v>
      </c>
      <c r="H135">
        <f t="shared" si="62"/>
        <v>0</v>
      </c>
      <c r="I135">
        <f t="shared" si="62"/>
        <v>3</v>
      </c>
      <c r="J135">
        <f t="shared" si="62"/>
        <v>3</v>
      </c>
      <c r="K135">
        <f t="shared" si="62"/>
        <v>3</v>
      </c>
      <c r="L135">
        <f t="shared" si="62"/>
        <v>3</v>
      </c>
      <c r="M135">
        <f t="shared" si="62"/>
        <v>3</v>
      </c>
      <c r="N135">
        <f t="shared" si="62"/>
        <v>3</v>
      </c>
      <c r="O135">
        <f t="shared" si="62"/>
        <v>3</v>
      </c>
      <c r="P135">
        <f t="shared" si="62"/>
        <v>3</v>
      </c>
      <c r="Q135">
        <f t="shared" si="62"/>
        <v>3</v>
      </c>
      <c r="R135">
        <f t="shared" si="62"/>
        <v>3</v>
      </c>
      <c r="S135">
        <f t="shared" si="62"/>
        <v>3</v>
      </c>
      <c r="T135">
        <f t="shared" si="62"/>
        <v>3</v>
      </c>
      <c r="U135">
        <f t="shared" si="62"/>
        <v>3</v>
      </c>
      <c r="V135">
        <f t="shared" si="62"/>
        <v>3</v>
      </c>
      <c r="W135">
        <f t="shared" si="62"/>
        <v>3</v>
      </c>
      <c r="X135">
        <f t="shared" si="62"/>
        <v>3</v>
      </c>
      <c r="Y135">
        <f t="shared" si="62"/>
        <v>3</v>
      </c>
      <c r="Z135">
        <f t="shared" si="62"/>
        <v>3</v>
      </c>
      <c r="AA135">
        <f t="shared" si="62"/>
        <v>3</v>
      </c>
      <c r="AB135">
        <f t="shared" si="62"/>
        <v>3</v>
      </c>
      <c r="AC135">
        <f t="shared" si="62"/>
        <v>3</v>
      </c>
      <c r="AD135">
        <f t="shared" si="62"/>
        <v>3</v>
      </c>
      <c r="AE135">
        <f t="shared" si="62"/>
        <v>3</v>
      </c>
      <c r="AF135">
        <f t="shared" si="62"/>
        <v>3</v>
      </c>
      <c r="AG135">
        <f t="shared" si="62"/>
        <v>3</v>
      </c>
      <c r="AH135">
        <f t="shared" si="62"/>
        <v>3</v>
      </c>
      <c r="AI135" t="s">
        <v>1</v>
      </c>
      <c r="AJ135" t="str">
        <f>"0"&amp;DEC2HEX(A135*64+B135*16+C135*4+D135)&amp;"h"</f>
        <v>0CFh</v>
      </c>
      <c r="AK135" t="s">
        <v>0</v>
      </c>
      <c r="AN135" t="str">
        <f>"0"&amp;DEC2HEX(E135*64+F135*16+G135*4+H135)&amp;"h"</f>
        <v>03Ch</v>
      </c>
      <c r="AW135" t="str">
        <f>_xlfn.CONCAT(AI135:AV135)</f>
        <v>db 0CFh,03Ch</v>
      </c>
    </row>
    <row r="136" spans="1:49" x14ac:dyDescent="0.2">
      <c r="A136">
        <f t="shared" ref="A136:AH136" si="63">IF(A145&gt;0,0,3)</f>
        <v>3</v>
      </c>
      <c r="B136">
        <f t="shared" si="63"/>
        <v>3</v>
      </c>
      <c r="C136">
        <f t="shared" si="63"/>
        <v>0</v>
      </c>
      <c r="D136">
        <f t="shared" si="63"/>
        <v>3</v>
      </c>
      <c r="E136">
        <f t="shared" si="63"/>
        <v>3</v>
      </c>
      <c r="F136">
        <f t="shared" si="63"/>
        <v>3</v>
      </c>
      <c r="G136">
        <f t="shared" si="63"/>
        <v>3</v>
      </c>
      <c r="H136">
        <f t="shared" si="63"/>
        <v>3</v>
      </c>
      <c r="I136">
        <f t="shared" si="63"/>
        <v>3</v>
      </c>
      <c r="J136">
        <f t="shared" si="63"/>
        <v>3</v>
      </c>
      <c r="K136">
        <f t="shared" si="63"/>
        <v>3</v>
      </c>
      <c r="L136">
        <f t="shared" si="63"/>
        <v>3</v>
      </c>
      <c r="M136">
        <f t="shared" si="63"/>
        <v>3</v>
      </c>
      <c r="N136">
        <f t="shared" si="63"/>
        <v>3</v>
      </c>
      <c r="O136">
        <f t="shared" si="63"/>
        <v>3</v>
      </c>
      <c r="P136">
        <f t="shared" si="63"/>
        <v>3</v>
      </c>
      <c r="Q136">
        <f t="shared" si="63"/>
        <v>3</v>
      </c>
      <c r="R136">
        <f t="shared" si="63"/>
        <v>3</v>
      </c>
      <c r="S136">
        <f t="shared" si="63"/>
        <v>3</v>
      </c>
      <c r="T136">
        <f t="shared" si="63"/>
        <v>3</v>
      </c>
      <c r="U136">
        <f t="shared" si="63"/>
        <v>3</v>
      </c>
      <c r="V136">
        <f t="shared" si="63"/>
        <v>3</v>
      </c>
      <c r="W136">
        <f t="shared" si="63"/>
        <v>3</v>
      </c>
      <c r="X136">
        <f t="shared" si="63"/>
        <v>3</v>
      </c>
      <c r="Y136">
        <f t="shared" si="63"/>
        <v>3</v>
      </c>
      <c r="Z136">
        <f t="shared" si="63"/>
        <v>3</v>
      </c>
      <c r="AA136">
        <f t="shared" si="63"/>
        <v>3</v>
      </c>
      <c r="AB136">
        <f t="shared" si="63"/>
        <v>3</v>
      </c>
      <c r="AC136">
        <f t="shared" si="63"/>
        <v>3</v>
      </c>
      <c r="AD136">
        <f t="shared" si="63"/>
        <v>3</v>
      </c>
      <c r="AE136">
        <f t="shared" si="63"/>
        <v>3</v>
      </c>
      <c r="AF136">
        <f t="shared" si="63"/>
        <v>3</v>
      </c>
      <c r="AG136">
        <f t="shared" si="63"/>
        <v>3</v>
      </c>
      <c r="AH136">
        <f t="shared" si="63"/>
        <v>3</v>
      </c>
      <c r="AI136" t="s">
        <v>1</v>
      </c>
      <c r="AJ136" t="str">
        <f>"0"&amp;DEC2HEX(A136*64+B136*16+C136*4+D136)&amp;"h"</f>
        <v>0F3h</v>
      </c>
      <c r="AK136" t="s">
        <v>0</v>
      </c>
      <c r="AN136" t="str">
        <f>"0"&amp;DEC2HEX(E136*64+F136*16+G136*4+H136)&amp;"h"</f>
        <v>0FFh</v>
      </c>
      <c r="AW136" t="str">
        <f>_xlfn.CONCAT(AI136:AV136)</f>
        <v>db 0F3h,0FFh</v>
      </c>
    </row>
    <row r="137" spans="1:49" x14ac:dyDescent="0.2">
      <c r="A137">
        <v>3</v>
      </c>
      <c r="E137">
        <v>3</v>
      </c>
      <c r="I137">
        <v>3</v>
      </c>
      <c r="M137">
        <v>3</v>
      </c>
      <c r="Q137">
        <v>3</v>
      </c>
    </row>
    <row r="138" spans="1:49" x14ac:dyDescent="0.2">
      <c r="A138">
        <v>2</v>
      </c>
      <c r="F138">
        <v>3</v>
      </c>
      <c r="AI138" t="s">
        <v>1</v>
      </c>
      <c r="AJ138" t="str">
        <f>"0"&amp;DEC2HEX(A138*64+B138*16+C138*4+D138)&amp;"h"</f>
        <v>080h</v>
      </c>
      <c r="AK138" t="s">
        <v>0</v>
      </c>
      <c r="AN138" t="str">
        <f>"0"&amp;DEC2HEX(E138*64+F138*16+G138*4+H138)&amp;"h"</f>
        <v>030h</v>
      </c>
      <c r="AW138" t="str">
        <f>_xlfn.CONCAT(AI138:AV138)</f>
        <v>db 080h,030h</v>
      </c>
    </row>
    <row r="139" spans="1:49" x14ac:dyDescent="0.2">
      <c r="B139">
        <v>2</v>
      </c>
      <c r="D139">
        <v>3</v>
      </c>
      <c r="G139">
        <v>2</v>
      </c>
      <c r="AI139" t="s">
        <v>1</v>
      </c>
      <c r="AJ139" t="str">
        <f>"0"&amp;DEC2HEX(A139*64+B139*16+C139*4+D139)&amp;"h"</f>
        <v>023h</v>
      </c>
      <c r="AK139" t="s">
        <v>0</v>
      </c>
      <c r="AN139" t="str">
        <f>"0"&amp;DEC2HEX(E139*64+F139*16+G139*4+H139)&amp;"h"</f>
        <v>08h</v>
      </c>
      <c r="AW139" t="str">
        <f>_xlfn.CONCAT(AI139:AV139)</f>
        <v>db 023h,08h</v>
      </c>
    </row>
    <row r="140" spans="1:49" x14ac:dyDescent="0.2">
      <c r="E140">
        <v>3</v>
      </c>
      <c r="H140">
        <v>2</v>
      </c>
      <c r="AI140" t="s">
        <v>1</v>
      </c>
      <c r="AJ140" t="str">
        <f>"0"&amp;DEC2HEX(A140*64+B140*16+C140*4+D140)&amp;"h"</f>
        <v>00h</v>
      </c>
      <c r="AK140" t="s">
        <v>0</v>
      </c>
      <c r="AN140" t="str">
        <f>"0"&amp;DEC2HEX(E140*64+F140*16+G140*4+H140)&amp;"h"</f>
        <v>0C2h</v>
      </c>
      <c r="AW140" t="str">
        <f>_xlfn.CONCAT(AI140:AV140)</f>
        <v>db 00h,0C2h</v>
      </c>
    </row>
    <row r="141" spans="1:49" x14ac:dyDescent="0.2">
      <c r="A141">
        <v>2</v>
      </c>
      <c r="C141">
        <v>1</v>
      </c>
      <c r="F141">
        <v>3</v>
      </c>
      <c r="AI141" t="s">
        <v>1</v>
      </c>
      <c r="AJ141" t="str">
        <f>"0"&amp;DEC2HEX(A141*64+B141*16+C141*4+D141)&amp;"h"</f>
        <v>084h</v>
      </c>
      <c r="AK141" t="s">
        <v>0</v>
      </c>
      <c r="AN141" t="str">
        <f>"0"&amp;DEC2HEX(E141*64+F141*16+G141*4+H141)&amp;"h"</f>
        <v>030h</v>
      </c>
      <c r="AW141" t="str">
        <f>_xlfn.CONCAT(AI141:AV141)</f>
        <v>db 084h,030h</v>
      </c>
    </row>
    <row r="142" spans="1:49" x14ac:dyDescent="0.2">
      <c r="B142">
        <v>2</v>
      </c>
      <c r="E142">
        <v>1</v>
      </c>
      <c r="G142">
        <v>2</v>
      </c>
      <c r="AI142" t="s">
        <v>1</v>
      </c>
      <c r="AJ142" t="str">
        <f>"0"&amp;DEC2HEX(A142*64+B142*16+C142*4+D142)&amp;"h"</f>
        <v>020h</v>
      </c>
      <c r="AK142" t="s">
        <v>0</v>
      </c>
      <c r="AN142" t="str">
        <f>"0"&amp;DEC2HEX(E142*64+F142*16+G142*4+H142)&amp;"h"</f>
        <v>048h</v>
      </c>
      <c r="AW142" t="str">
        <f>_xlfn.CONCAT(AI142:AV142)</f>
        <v>db 020h,048h</v>
      </c>
    </row>
    <row r="143" spans="1:49" x14ac:dyDescent="0.2">
      <c r="C143">
        <v>3</v>
      </c>
      <c r="F143">
        <v>2</v>
      </c>
      <c r="AI143" t="s">
        <v>1</v>
      </c>
      <c r="AJ143" t="str">
        <f>"0"&amp;DEC2HEX(A143*64+B143*16+C143*4+D143)&amp;"h"</f>
        <v>0Ch</v>
      </c>
      <c r="AK143" t="s">
        <v>0</v>
      </c>
      <c r="AN143" t="str">
        <f>"0"&amp;DEC2HEX(E143*64+F143*16+G143*4+H143)&amp;"h"</f>
        <v>020h</v>
      </c>
      <c r="AW143" t="str">
        <f>_xlfn.CONCAT(AI143:AV143)</f>
        <v>db 0Ch,020h</v>
      </c>
    </row>
    <row r="144" spans="1:49" x14ac:dyDescent="0.2">
      <c r="B144">
        <v>2</v>
      </c>
      <c r="E144">
        <v>2</v>
      </c>
      <c r="H144">
        <v>2</v>
      </c>
      <c r="AI144" t="s">
        <v>1</v>
      </c>
      <c r="AJ144" t="str">
        <f>"0"&amp;DEC2HEX(A144*64+B144*16+C144*4+D144)&amp;"h"</f>
        <v>020h</v>
      </c>
      <c r="AK144" t="s">
        <v>0</v>
      </c>
      <c r="AN144" t="str">
        <f>"0"&amp;DEC2HEX(E144*64+F144*16+G144*4+H144)&amp;"h"</f>
        <v>082h</v>
      </c>
      <c r="AW144" t="str">
        <f>_xlfn.CONCAT(AI144:AV144)</f>
        <v>db 020h,082h</v>
      </c>
    </row>
    <row r="145" spans="1:66" x14ac:dyDescent="0.2">
      <c r="C145">
        <v>2</v>
      </c>
      <c r="AI145" t="s">
        <v>1</v>
      </c>
      <c r="AJ145" t="str">
        <f>"0"&amp;DEC2HEX(A145*64+B145*16+C145*4+D145)&amp;"h"</f>
        <v>08h</v>
      </c>
      <c r="AK145" t="s">
        <v>0</v>
      </c>
      <c r="AN145" t="str">
        <f>"0"&amp;DEC2HEX(E145*64+F145*16+G145*4+H145)&amp;"h"</f>
        <v>00h</v>
      </c>
      <c r="AW145" t="str">
        <f>_xlfn.CONCAT(AI145:AV145)</f>
        <v>db 08h,00h</v>
      </c>
    </row>
    <row r="146" spans="1:66" x14ac:dyDescent="0.2">
      <c r="AI146" s="1" t="s">
        <v>19</v>
      </c>
      <c r="BN146" s="1" t="s">
        <v>19</v>
      </c>
    </row>
    <row r="147" spans="1:66" x14ac:dyDescent="0.2">
      <c r="H147">
        <v>1</v>
      </c>
      <c r="I147">
        <v>1</v>
      </c>
      <c r="J147">
        <v>1</v>
      </c>
      <c r="K147">
        <v>1</v>
      </c>
      <c r="AI147" t="s">
        <v>1</v>
      </c>
      <c r="AJ147" t="str">
        <f>"0"&amp;DEC2HEX(A147*64+B147*16+C147*4+D147)&amp;"h"</f>
        <v>00h</v>
      </c>
      <c r="AK147" t="s">
        <v>0</v>
      </c>
      <c r="AN147" t="str">
        <f>"0"&amp;DEC2HEX(E147*64+F147*16+G147*4+H147)&amp;"h"</f>
        <v>01h</v>
      </c>
      <c r="AO147" t="s">
        <v>0</v>
      </c>
      <c r="AR147" t="str">
        <f>"0"&amp;DEC2HEX(I147*64+J147*16+K147*4+L147)&amp;"h"</f>
        <v>054h</v>
      </c>
      <c r="AS147" t="s">
        <v>0</v>
      </c>
      <c r="AV147" t="str">
        <f>"0"&amp;DEC2HEX(M147*64+N147*16+O147*4+P147)&amp;"h"</f>
        <v>00h</v>
      </c>
      <c r="AW147" t="s">
        <v>0</v>
      </c>
      <c r="AZ147" t="str">
        <f>"0"&amp;DEC2HEX(Q147*64+R147*16+S147*4+T147)&amp;"h"</f>
        <v>00h</v>
      </c>
      <c r="BA147" t="s">
        <v>0</v>
      </c>
      <c r="BD147" t="str">
        <f>"0"&amp;DEC2HEX(U147*64+V147*16+W147*4+X147)&amp;"h"</f>
        <v>00h</v>
      </c>
      <c r="BE147" t="s">
        <v>0</v>
      </c>
      <c r="BH147" t="str">
        <f>"0"&amp;DEC2HEX(Y147*64+Z147*16+AA147*4+AB147)&amp;"h"</f>
        <v>00h</v>
      </c>
      <c r="BI147" t="s">
        <v>0</v>
      </c>
      <c r="BL147" t="str">
        <f>"0"&amp;DEC2HEX(AC147*64+AD147*16+AE147*4+AF147)&amp;"h"</f>
        <v>00h</v>
      </c>
      <c r="BN147" t="str">
        <f>_xlfn.CONCAT(AI147:BM147)</f>
        <v>db 00h,01h,054h,00h,00h,00h,00h,00h</v>
      </c>
    </row>
    <row r="148" spans="1:66" x14ac:dyDescent="0.2">
      <c r="H148">
        <v>0</v>
      </c>
      <c r="I148">
        <v>3</v>
      </c>
      <c r="J148">
        <v>3</v>
      </c>
      <c r="K148">
        <v>1</v>
      </c>
      <c r="L148">
        <v>1</v>
      </c>
      <c r="AI148" t="s">
        <v>1</v>
      </c>
      <c r="AJ148" t="str">
        <f t="shared" ref="AJ148:AJ162" si="64">"0"&amp;DEC2HEX(A148*64+B148*16+C148*4+D148)&amp;"h"</f>
        <v>00h</v>
      </c>
      <c r="AK148" t="s">
        <v>0</v>
      </c>
      <c r="AN148" t="str">
        <f t="shared" ref="AN148:AN162" si="65">"0"&amp;DEC2HEX(E148*64+F148*16+G148*4+H148)&amp;"h"</f>
        <v>00h</v>
      </c>
      <c r="AO148" t="s">
        <v>0</v>
      </c>
      <c r="AR148" t="str">
        <f t="shared" ref="AR148:AR162" si="66">"0"&amp;DEC2HEX(I148*64+J148*16+K148*4+L148)&amp;"h"</f>
        <v>0F5h</v>
      </c>
      <c r="AS148" t="s">
        <v>0</v>
      </c>
      <c r="AV148" t="str">
        <f t="shared" ref="AV148:AV162" si="67">"0"&amp;DEC2HEX(M148*64+N148*16+O148*4+P148)&amp;"h"</f>
        <v>00h</v>
      </c>
      <c r="AW148" t="s">
        <v>0</v>
      </c>
      <c r="AZ148" t="str">
        <f t="shared" ref="AZ148:AZ162" si="68">"0"&amp;DEC2HEX(Q148*64+R148*16+S148*4+T148)&amp;"h"</f>
        <v>00h</v>
      </c>
      <c r="BA148" t="s">
        <v>0</v>
      </c>
      <c r="BD148" t="str">
        <f t="shared" ref="BD148:BD162" si="69">"0"&amp;DEC2HEX(U148*64+V148*16+W148*4+X148)&amp;"h"</f>
        <v>00h</v>
      </c>
      <c r="BE148" t="s">
        <v>0</v>
      </c>
      <c r="BH148" t="str">
        <f t="shared" ref="BH148:BH162" si="70">"0"&amp;DEC2HEX(Y148*64+Z148*16+AA148*4+AB148)&amp;"h"</f>
        <v>00h</v>
      </c>
      <c r="BI148" t="s">
        <v>0</v>
      </c>
      <c r="BL148" t="str">
        <f t="shared" ref="BL148:BL162" si="71">"0"&amp;DEC2HEX(AC148*64+AD148*16+AE148*4+AF148)&amp;"h"</f>
        <v>00h</v>
      </c>
      <c r="BN148" t="str">
        <f>_xlfn.CONCAT(AI149:BM149)</f>
        <v>db 00h,00h,0FDh,040h,00h,00h,00h,00h</v>
      </c>
    </row>
    <row r="149" spans="1:66" x14ac:dyDescent="0.2">
      <c r="I149">
        <v>3</v>
      </c>
      <c r="J149">
        <v>3</v>
      </c>
      <c r="K149">
        <v>3</v>
      </c>
      <c r="L149">
        <v>1</v>
      </c>
      <c r="M149">
        <v>1</v>
      </c>
      <c r="AI149" t="s">
        <v>1</v>
      </c>
      <c r="AJ149" t="str">
        <f t="shared" si="64"/>
        <v>00h</v>
      </c>
      <c r="AK149" t="s">
        <v>0</v>
      </c>
      <c r="AN149" t="str">
        <f t="shared" si="65"/>
        <v>00h</v>
      </c>
      <c r="AO149" t="s">
        <v>0</v>
      </c>
      <c r="AR149" t="str">
        <f t="shared" si="66"/>
        <v>0FDh</v>
      </c>
      <c r="AS149" t="s">
        <v>0</v>
      </c>
      <c r="AV149" t="str">
        <f t="shared" si="67"/>
        <v>040h</v>
      </c>
      <c r="AW149" t="s">
        <v>0</v>
      </c>
      <c r="AZ149" t="str">
        <f t="shared" si="68"/>
        <v>00h</v>
      </c>
      <c r="BA149" t="s">
        <v>0</v>
      </c>
      <c r="BD149" t="str">
        <f t="shared" si="69"/>
        <v>00h</v>
      </c>
      <c r="BE149" t="s">
        <v>0</v>
      </c>
      <c r="BH149" t="str">
        <f t="shared" si="70"/>
        <v>00h</v>
      </c>
      <c r="BI149" t="s">
        <v>0</v>
      </c>
      <c r="BL149" t="str">
        <f t="shared" si="71"/>
        <v>00h</v>
      </c>
      <c r="BN149" t="str">
        <f>_xlfn.CONCAT(AI151:BM151)</f>
        <v>db 00h,0Ch,07Fh,0FCh,04Ah,0BFh,00h,00h</v>
      </c>
    </row>
    <row r="150" spans="1:66" x14ac:dyDescent="0.2">
      <c r="F150">
        <v>3</v>
      </c>
      <c r="G150">
        <v>3</v>
      </c>
      <c r="H150">
        <v>3</v>
      </c>
      <c r="I150">
        <v>3</v>
      </c>
      <c r="J150">
        <v>3</v>
      </c>
      <c r="K150">
        <v>3</v>
      </c>
      <c r="L150">
        <v>3</v>
      </c>
      <c r="M150">
        <v>3</v>
      </c>
      <c r="N150">
        <v>1</v>
      </c>
      <c r="O150">
        <v>1</v>
      </c>
      <c r="P150">
        <v>3</v>
      </c>
      <c r="Q150">
        <v>3</v>
      </c>
      <c r="R150">
        <v>3</v>
      </c>
      <c r="S150">
        <v>3</v>
      </c>
      <c r="T150">
        <v>3</v>
      </c>
      <c r="U150">
        <v>3</v>
      </c>
      <c r="AI150" t="s">
        <v>1</v>
      </c>
      <c r="AJ150" t="str">
        <f t="shared" si="64"/>
        <v>00h</v>
      </c>
      <c r="AK150" t="s">
        <v>0</v>
      </c>
      <c r="AN150" t="str">
        <f t="shared" si="65"/>
        <v>03Fh</v>
      </c>
      <c r="AO150" t="s">
        <v>0</v>
      </c>
      <c r="AR150" t="str">
        <f t="shared" si="66"/>
        <v>0FFh</v>
      </c>
      <c r="AS150" t="s">
        <v>0</v>
      </c>
      <c r="AV150" t="str">
        <f t="shared" si="67"/>
        <v>0D7h</v>
      </c>
      <c r="AW150" t="s">
        <v>0</v>
      </c>
      <c r="AZ150" t="str">
        <f t="shared" si="68"/>
        <v>0FFh</v>
      </c>
      <c r="BA150" t="s">
        <v>0</v>
      </c>
      <c r="BD150" t="str">
        <f t="shared" si="69"/>
        <v>0C0h</v>
      </c>
      <c r="BE150" t="s">
        <v>0</v>
      </c>
      <c r="BH150" t="str">
        <f t="shared" si="70"/>
        <v>00h</v>
      </c>
      <c r="BI150" t="s">
        <v>0</v>
      </c>
      <c r="BL150" t="str">
        <f t="shared" si="71"/>
        <v>00h</v>
      </c>
      <c r="BN150" t="str">
        <f>_xlfn.CONCAT(AI153:BM153)</f>
        <v>db 089h,05Ch,044h,044h,044h,0AAh,0AFh,00h</v>
      </c>
    </row>
    <row r="151" spans="1:66" x14ac:dyDescent="0.2">
      <c r="D151">
        <v>0</v>
      </c>
      <c r="E151">
        <v>0</v>
      </c>
      <c r="F151">
        <v>0</v>
      </c>
      <c r="G151">
        <v>3</v>
      </c>
      <c r="I151">
        <v>1</v>
      </c>
      <c r="J151">
        <v>3</v>
      </c>
      <c r="K151">
        <v>3</v>
      </c>
      <c r="L151">
        <v>3</v>
      </c>
      <c r="M151">
        <v>3</v>
      </c>
      <c r="N151">
        <v>3</v>
      </c>
      <c r="O151">
        <v>3</v>
      </c>
      <c r="Q151">
        <v>1</v>
      </c>
      <c r="S151">
        <v>2</v>
      </c>
      <c r="T151">
        <v>2</v>
      </c>
      <c r="U151">
        <v>2</v>
      </c>
      <c r="V151">
        <v>3</v>
      </c>
      <c r="W151">
        <v>3</v>
      </c>
      <c r="X151">
        <v>3</v>
      </c>
      <c r="AI151" t="s">
        <v>1</v>
      </c>
      <c r="AJ151" t="str">
        <f t="shared" si="64"/>
        <v>00h</v>
      </c>
      <c r="AK151" t="s">
        <v>0</v>
      </c>
      <c r="AN151" t="str">
        <f t="shared" si="65"/>
        <v>0Ch</v>
      </c>
      <c r="AO151" t="s">
        <v>0</v>
      </c>
      <c r="AR151" t="str">
        <f t="shared" si="66"/>
        <v>07Fh</v>
      </c>
      <c r="AS151" t="s">
        <v>0</v>
      </c>
      <c r="AV151" t="str">
        <f t="shared" si="67"/>
        <v>0FCh</v>
      </c>
      <c r="AW151" t="s">
        <v>0</v>
      </c>
      <c r="AZ151" t="str">
        <f t="shared" si="68"/>
        <v>04Ah</v>
      </c>
      <c r="BA151" t="s">
        <v>0</v>
      </c>
      <c r="BD151" t="str">
        <f t="shared" si="69"/>
        <v>0BFh</v>
      </c>
      <c r="BE151" t="s">
        <v>0</v>
      </c>
      <c r="BH151" t="str">
        <f t="shared" si="70"/>
        <v>00h</v>
      </c>
      <c r="BI151" t="s">
        <v>0</v>
      </c>
      <c r="BL151" t="str">
        <f t="shared" si="71"/>
        <v>00h</v>
      </c>
      <c r="BN151" t="str">
        <f>_xlfn.CONCAT(AI155:BM155)</f>
        <v>db 00h,0Ch,044h,044h,044h,044h,044h,0C0h</v>
      </c>
    </row>
    <row r="152" spans="1:66" x14ac:dyDescent="0.2">
      <c r="B152">
        <v>2</v>
      </c>
      <c r="C152">
        <v>2</v>
      </c>
      <c r="D152">
        <v>3</v>
      </c>
      <c r="E152">
        <v>3</v>
      </c>
      <c r="F152">
        <v>1</v>
      </c>
      <c r="G152">
        <v>3</v>
      </c>
      <c r="H152">
        <v>1</v>
      </c>
      <c r="J152">
        <v>1</v>
      </c>
      <c r="L152">
        <v>1</v>
      </c>
      <c r="N152">
        <v>1</v>
      </c>
      <c r="P152">
        <v>1</v>
      </c>
      <c r="R152">
        <v>1</v>
      </c>
      <c r="T152">
        <v>2</v>
      </c>
      <c r="U152">
        <v>2</v>
      </c>
      <c r="V152">
        <v>2</v>
      </c>
      <c r="W152">
        <v>2</v>
      </c>
      <c r="X152">
        <v>2</v>
      </c>
      <c r="Y152">
        <v>3</v>
      </c>
      <c r="Z152">
        <v>3</v>
      </c>
      <c r="AI152" t="s">
        <v>1</v>
      </c>
      <c r="AJ152" t="str">
        <f t="shared" si="64"/>
        <v>02Bh</v>
      </c>
      <c r="AK152" t="s">
        <v>0</v>
      </c>
      <c r="AN152" t="str">
        <f t="shared" si="65"/>
        <v>0DDh</v>
      </c>
      <c r="AO152" t="s">
        <v>0</v>
      </c>
      <c r="AR152" t="str">
        <f t="shared" si="66"/>
        <v>011h</v>
      </c>
      <c r="AS152" t="s">
        <v>0</v>
      </c>
      <c r="AV152" t="str">
        <f t="shared" si="67"/>
        <v>011h</v>
      </c>
      <c r="AW152" t="s">
        <v>0</v>
      </c>
      <c r="AZ152" t="str">
        <f t="shared" si="68"/>
        <v>012h</v>
      </c>
      <c r="BA152" t="s">
        <v>0</v>
      </c>
      <c r="BD152" t="str">
        <f t="shared" si="69"/>
        <v>0AAh</v>
      </c>
      <c r="BE152" t="s">
        <v>0</v>
      </c>
      <c r="BH152" t="str">
        <f t="shared" si="70"/>
        <v>0F0h</v>
      </c>
      <c r="BI152" t="s">
        <v>0</v>
      </c>
      <c r="BL152" t="str">
        <f t="shared" si="71"/>
        <v>00h</v>
      </c>
      <c r="BN152" t="str">
        <f>_xlfn.CONCAT(AI157:BM157)</f>
        <v>db 089h,05Ch,044h,044h,044h,044h,050h,00h</v>
      </c>
    </row>
    <row r="153" spans="1:66" x14ac:dyDescent="0.2">
      <c r="A153">
        <v>2</v>
      </c>
      <c r="C153">
        <v>2</v>
      </c>
      <c r="D153">
        <v>1</v>
      </c>
      <c r="E153">
        <v>1</v>
      </c>
      <c r="F153">
        <v>1</v>
      </c>
      <c r="G153">
        <v>3</v>
      </c>
      <c r="I153">
        <v>1</v>
      </c>
      <c r="K153">
        <v>1</v>
      </c>
      <c r="M153">
        <v>1</v>
      </c>
      <c r="O153">
        <v>1</v>
      </c>
      <c r="Q153">
        <v>1</v>
      </c>
      <c r="S153">
        <v>1</v>
      </c>
      <c r="U153">
        <v>2</v>
      </c>
      <c r="V153">
        <v>2</v>
      </c>
      <c r="W153">
        <v>2</v>
      </c>
      <c r="X153">
        <v>2</v>
      </c>
      <c r="Y153">
        <v>2</v>
      </c>
      <c r="Z153">
        <v>2</v>
      </c>
      <c r="AA153">
        <v>3</v>
      </c>
      <c r="AB153">
        <v>3</v>
      </c>
      <c r="AI153" t="s">
        <v>1</v>
      </c>
      <c r="AJ153" t="str">
        <f t="shared" si="64"/>
        <v>089h</v>
      </c>
      <c r="AK153" t="s">
        <v>0</v>
      </c>
      <c r="AN153" t="str">
        <f t="shared" si="65"/>
        <v>05Ch</v>
      </c>
      <c r="AO153" t="s">
        <v>0</v>
      </c>
      <c r="AR153" t="str">
        <f t="shared" si="66"/>
        <v>044h</v>
      </c>
      <c r="AS153" t="s">
        <v>0</v>
      </c>
      <c r="AV153" t="str">
        <f t="shared" si="67"/>
        <v>044h</v>
      </c>
      <c r="AW153" t="s">
        <v>0</v>
      </c>
      <c r="AZ153" t="str">
        <f t="shared" si="68"/>
        <v>044h</v>
      </c>
      <c r="BA153" t="s">
        <v>0</v>
      </c>
      <c r="BD153" t="str">
        <f t="shared" si="69"/>
        <v>0AAh</v>
      </c>
      <c r="BE153" t="s">
        <v>0</v>
      </c>
      <c r="BH153" t="str">
        <f t="shared" si="70"/>
        <v>0AFh</v>
      </c>
      <c r="BI153" t="s">
        <v>0</v>
      </c>
      <c r="BL153" t="str">
        <f t="shared" si="71"/>
        <v>00h</v>
      </c>
      <c r="BN153" t="str">
        <f>_xlfn.CONCAT(AI159:BM159)</f>
        <v>db 00h,015h,07Fh,0D5h,055h,040h,00h,00h</v>
      </c>
    </row>
    <row r="154" spans="1:66" x14ac:dyDescent="0.2">
      <c r="G154">
        <v>3</v>
      </c>
      <c r="H154">
        <v>1</v>
      </c>
      <c r="J154">
        <v>1</v>
      </c>
      <c r="L154">
        <v>1</v>
      </c>
      <c r="N154">
        <v>1</v>
      </c>
      <c r="P154">
        <v>1</v>
      </c>
      <c r="R154">
        <v>1</v>
      </c>
      <c r="T154">
        <v>1</v>
      </c>
      <c r="V154">
        <v>1</v>
      </c>
      <c r="X154">
        <v>1</v>
      </c>
      <c r="Z154">
        <v>1</v>
      </c>
      <c r="AB154">
        <v>1</v>
      </c>
      <c r="AC154">
        <v>3</v>
      </c>
      <c r="AI154" t="s">
        <v>1</v>
      </c>
      <c r="AJ154" t="str">
        <f t="shared" si="64"/>
        <v>00h</v>
      </c>
      <c r="AK154" t="s">
        <v>0</v>
      </c>
      <c r="AN154" t="str">
        <f t="shared" si="65"/>
        <v>0Dh</v>
      </c>
      <c r="AO154" t="s">
        <v>0</v>
      </c>
      <c r="AR154" t="str">
        <f t="shared" si="66"/>
        <v>011h</v>
      </c>
      <c r="AS154" t="s">
        <v>0</v>
      </c>
      <c r="AV154" t="str">
        <f t="shared" si="67"/>
        <v>011h</v>
      </c>
      <c r="AW154" t="s">
        <v>0</v>
      </c>
      <c r="AZ154" t="str">
        <f t="shared" si="68"/>
        <v>011h</v>
      </c>
      <c r="BA154" t="s">
        <v>0</v>
      </c>
      <c r="BD154" t="str">
        <f t="shared" si="69"/>
        <v>011h</v>
      </c>
      <c r="BE154" t="s">
        <v>0</v>
      </c>
      <c r="BH154" t="str">
        <f t="shared" si="70"/>
        <v>011h</v>
      </c>
      <c r="BI154" t="s">
        <v>0</v>
      </c>
      <c r="BL154" t="str">
        <f t="shared" si="71"/>
        <v>0C0h</v>
      </c>
      <c r="BN154" t="str">
        <f>_xlfn.CONCAT(AI161:BM161)</f>
        <v>db 00h,00h,0FDh,00h,00h,00h,00h,00h</v>
      </c>
    </row>
    <row r="155" spans="1:66" x14ac:dyDescent="0.2">
      <c r="C155">
        <v>0</v>
      </c>
      <c r="D155">
        <v>0</v>
      </c>
      <c r="E155">
        <v>0</v>
      </c>
      <c r="F155">
        <v>0</v>
      </c>
      <c r="G155">
        <v>3</v>
      </c>
      <c r="I155">
        <v>1</v>
      </c>
      <c r="K155">
        <v>1</v>
      </c>
      <c r="M155">
        <v>1</v>
      </c>
      <c r="O155">
        <v>1</v>
      </c>
      <c r="Q155">
        <v>1</v>
      </c>
      <c r="S155">
        <v>1</v>
      </c>
      <c r="U155">
        <v>1</v>
      </c>
      <c r="W155">
        <v>1</v>
      </c>
      <c r="Y155">
        <v>1</v>
      </c>
      <c r="AA155">
        <v>1</v>
      </c>
      <c r="AC155">
        <v>3</v>
      </c>
      <c r="AI155" t="s">
        <v>1</v>
      </c>
      <c r="AJ155" t="str">
        <f t="shared" si="64"/>
        <v>00h</v>
      </c>
      <c r="AK155" t="s">
        <v>0</v>
      </c>
      <c r="AN155" t="str">
        <f t="shared" si="65"/>
        <v>0Ch</v>
      </c>
      <c r="AO155" t="s">
        <v>0</v>
      </c>
      <c r="AR155" t="str">
        <f t="shared" si="66"/>
        <v>044h</v>
      </c>
      <c r="AS155" t="s">
        <v>0</v>
      </c>
      <c r="AV155" t="str">
        <f t="shared" si="67"/>
        <v>044h</v>
      </c>
      <c r="AW155" t="s">
        <v>0</v>
      </c>
      <c r="AZ155" t="str">
        <f t="shared" si="68"/>
        <v>044h</v>
      </c>
      <c r="BA155" t="s">
        <v>0</v>
      </c>
      <c r="BD155" t="str">
        <f t="shared" si="69"/>
        <v>044h</v>
      </c>
      <c r="BE155" t="s">
        <v>0</v>
      </c>
      <c r="BH155" t="str">
        <f t="shared" si="70"/>
        <v>044h</v>
      </c>
      <c r="BI155" t="s">
        <v>0</v>
      </c>
      <c r="BL155" t="str">
        <f t="shared" si="71"/>
        <v>0C0h</v>
      </c>
      <c r="BN155" t="str">
        <f>_xlfn.CONCAT(AI148:BM148)</f>
        <v>db 00h,00h,0F5h,00h,00h,00h,00h,00h</v>
      </c>
    </row>
    <row r="156" spans="1:66" x14ac:dyDescent="0.2">
      <c r="B156">
        <v>2</v>
      </c>
      <c r="C156">
        <v>2</v>
      </c>
      <c r="D156">
        <v>3</v>
      </c>
      <c r="E156">
        <v>1</v>
      </c>
      <c r="F156">
        <v>1</v>
      </c>
      <c r="G156">
        <v>3</v>
      </c>
      <c r="H156">
        <v>1</v>
      </c>
      <c r="J156">
        <v>1</v>
      </c>
      <c r="L156">
        <v>1</v>
      </c>
      <c r="N156">
        <v>1</v>
      </c>
      <c r="P156">
        <v>1</v>
      </c>
      <c r="R156">
        <v>1</v>
      </c>
      <c r="T156">
        <v>1</v>
      </c>
      <c r="V156">
        <v>1</v>
      </c>
      <c r="X156">
        <v>1</v>
      </c>
      <c r="Z156">
        <v>1</v>
      </c>
      <c r="AA156">
        <v>3</v>
      </c>
      <c r="AB156">
        <v>3</v>
      </c>
      <c r="AI156" t="s">
        <v>1</v>
      </c>
      <c r="AJ156" t="str">
        <f t="shared" si="64"/>
        <v>02Bh</v>
      </c>
      <c r="AK156" t="s">
        <v>0</v>
      </c>
      <c r="AN156" t="str">
        <f t="shared" si="65"/>
        <v>05Dh</v>
      </c>
      <c r="AO156" t="s">
        <v>0</v>
      </c>
      <c r="AR156" t="str">
        <f t="shared" si="66"/>
        <v>011h</v>
      </c>
      <c r="AS156" t="s">
        <v>0</v>
      </c>
      <c r="AV156" t="str">
        <f t="shared" si="67"/>
        <v>011h</v>
      </c>
      <c r="AW156" t="s">
        <v>0</v>
      </c>
      <c r="AZ156" t="str">
        <f t="shared" si="68"/>
        <v>011h</v>
      </c>
      <c r="BA156" t="s">
        <v>0</v>
      </c>
      <c r="BD156" t="str">
        <f t="shared" si="69"/>
        <v>011h</v>
      </c>
      <c r="BE156" t="s">
        <v>0</v>
      </c>
      <c r="BH156" t="str">
        <f t="shared" si="70"/>
        <v>01Fh</v>
      </c>
      <c r="BI156" t="s">
        <v>0</v>
      </c>
      <c r="BL156" t="str">
        <f t="shared" si="71"/>
        <v>00h</v>
      </c>
      <c r="BN156" t="str">
        <f>_xlfn.CONCAT(AI150:BM150)</f>
        <v>db 00h,03Fh,0FFh,0D7h,0FFh,0C0h,00h,00h</v>
      </c>
    </row>
    <row r="157" spans="1:66" x14ac:dyDescent="0.2">
      <c r="A157">
        <v>2</v>
      </c>
      <c r="B157">
        <v>0</v>
      </c>
      <c r="C157">
        <v>2</v>
      </c>
      <c r="D157">
        <v>1</v>
      </c>
      <c r="E157">
        <v>1</v>
      </c>
      <c r="F157">
        <v>1</v>
      </c>
      <c r="G157">
        <v>3</v>
      </c>
      <c r="I157">
        <v>1</v>
      </c>
      <c r="K157">
        <v>1</v>
      </c>
      <c r="M157">
        <v>1</v>
      </c>
      <c r="O157">
        <v>1</v>
      </c>
      <c r="Q157">
        <v>1</v>
      </c>
      <c r="S157">
        <v>1</v>
      </c>
      <c r="U157">
        <v>1</v>
      </c>
      <c r="W157">
        <v>1</v>
      </c>
      <c r="Y157">
        <v>1</v>
      </c>
      <c r="Z157">
        <v>1</v>
      </c>
      <c r="AI157" t="s">
        <v>1</v>
      </c>
      <c r="AJ157" t="str">
        <f t="shared" si="64"/>
        <v>089h</v>
      </c>
      <c r="AK157" t="s">
        <v>0</v>
      </c>
      <c r="AN157" t="str">
        <f t="shared" si="65"/>
        <v>05Ch</v>
      </c>
      <c r="AO157" t="s">
        <v>0</v>
      </c>
      <c r="AR157" t="str">
        <f t="shared" si="66"/>
        <v>044h</v>
      </c>
      <c r="AS157" t="s">
        <v>0</v>
      </c>
      <c r="AV157" t="str">
        <f t="shared" si="67"/>
        <v>044h</v>
      </c>
      <c r="AW157" t="s">
        <v>0</v>
      </c>
      <c r="AZ157" t="str">
        <f t="shared" si="68"/>
        <v>044h</v>
      </c>
      <c r="BA157" t="s">
        <v>0</v>
      </c>
      <c r="BD157" t="str">
        <f t="shared" si="69"/>
        <v>044h</v>
      </c>
      <c r="BE157" t="s">
        <v>0</v>
      </c>
      <c r="BH157" t="str">
        <f t="shared" si="70"/>
        <v>050h</v>
      </c>
      <c r="BI157" t="s">
        <v>0</v>
      </c>
      <c r="BL157" t="str">
        <f t="shared" si="71"/>
        <v>00h</v>
      </c>
      <c r="BN157" t="str">
        <f>_xlfn.CONCAT(AI152:BM152)</f>
        <v>db 02Bh,0DDh,011h,011h,012h,0AAh,0F0h,00h</v>
      </c>
    </row>
    <row r="158" spans="1:66" x14ac:dyDescent="0.2">
      <c r="G158">
        <v>3</v>
      </c>
      <c r="H158">
        <v>1</v>
      </c>
      <c r="J158">
        <v>3</v>
      </c>
      <c r="K158">
        <v>3</v>
      </c>
      <c r="L158">
        <v>3</v>
      </c>
      <c r="M158">
        <v>3</v>
      </c>
      <c r="N158">
        <v>3</v>
      </c>
      <c r="O158">
        <v>3</v>
      </c>
      <c r="P158">
        <v>1</v>
      </c>
      <c r="R158">
        <v>1</v>
      </c>
      <c r="T158">
        <v>1</v>
      </c>
      <c r="V158">
        <v>1</v>
      </c>
      <c r="W158">
        <v>1</v>
      </c>
      <c r="X158">
        <v>1</v>
      </c>
      <c r="AI158" t="s">
        <v>1</v>
      </c>
      <c r="AJ158" t="str">
        <f t="shared" si="64"/>
        <v>00h</v>
      </c>
      <c r="AK158" t="s">
        <v>0</v>
      </c>
      <c r="AN158" t="str">
        <f t="shared" si="65"/>
        <v>0Dh</v>
      </c>
      <c r="AO158" t="s">
        <v>0</v>
      </c>
      <c r="AR158" t="str">
        <f t="shared" si="66"/>
        <v>03Fh</v>
      </c>
      <c r="AS158" t="s">
        <v>0</v>
      </c>
      <c r="AV158" t="str">
        <f t="shared" si="67"/>
        <v>0FDh</v>
      </c>
      <c r="AW158" t="s">
        <v>0</v>
      </c>
      <c r="AZ158" t="str">
        <f t="shared" si="68"/>
        <v>011h</v>
      </c>
      <c r="BA158" t="s">
        <v>0</v>
      </c>
      <c r="BD158" t="str">
        <f t="shared" si="69"/>
        <v>015h</v>
      </c>
      <c r="BE158" t="s">
        <v>0</v>
      </c>
      <c r="BH158" t="str">
        <f t="shared" si="70"/>
        <v>00h</v>
      </c>
      <c r="BI158" t="s">
        <v>0</v>
      </c>
      <c r="BL158" t="str">
        <f t="shared" si="71"/>
        <v>00h</v>
      </c>
      <c r="BN158" t="str">
        <f>_xlfn.CONCAT(AI154:BM154)</f>
        <v>db 00h,0Dh,011h,011h,011h,011h,011h,0C0h</v>
      </c>
    </row>
    <row r="159" spans="1:66" x14ac:dyDescent="0.2">
      <c r="F159">
        <v>1</v>
      </c>
      <c r="G159">
        <v>1</v>
      </c>
      <c r="H159">
        <v>1</v>
      </c>
      <c r="I159">
        <v>1</v>
      </c>
      <c r="J159">
        <v>3</v>
      </c>
      <c r="K159">
        <v>3</v>
      </c>
      <c r="L159">
        <v>3</v>
      </c>
      <c r="M159">
        <v>3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AI159" t="s">
        <v>1</v>
      </c>
      <c r="AJ159" t="str">
        <f t="shared" si="64"/>
        <v>00h</v>
      </c>
      <c r="AK159" t="s">
        <v>0</v>
      </c>
      <c r="AN159" t="str">
        <f t="shared" si="65"/>
        <v>015h</v>
      </c>
      <c r="AO159" t="s">
        <v>0</v>
      </c>
      <c r="AR159" t="str">
        <f t="shared" si="66"/>
        <v>07Fh</v>
      </c>
      <c r="AS159" t="s">
        <v>0</v>
      </c>
      <c r="AV159" t="str">
        <f t="shared" si="67"/>
        <v>0D5h</v>
      </c>
      <c r="AW159" t="s">
        <v>0</v>
      </c>
      <c r="AZ159" t="str">
        <f t="shared" si="68"/>
        <v>055h</v>
      </c>
      <c r="BA159" t="s">
        <v>0</v>
      </c>
      <c r="BD159" t="str">
        <f t="shared" si="69"/>
        <v>040h</v>
      </c>
      <c r="BE159" t="s">
        <v>0</v>
      </c>
      <c r="BH159" t="str">
        <f t="shared" si="70"/>
        <v>00h</v>
      </c>
      <c r="BI159" t="s">
        <v>0</v>
      </c>
      <c r="BL159" t="str">
        <f t="shared" si="71"/>
        <v>00h</v>
      </c>
      <c r="BN159" t="str">
        <f>_xlfn.CONCAT(AI156:BM156)</f>
        <v>db 02Bh,05Dh,011h,011h,011h,011h,01Fh,00h</v>
      </c>
    </row>
    <row r="160" spans="1:66" x14ac:dyDescent="0.2">
      <c r="I160">
        <v>3</v>
      </c>
      <c r="J160">
        <v>3</v>
      </c>
      <c r="K160">
        <v>3</v>
      </c>
      <c r="L160">
        <v>3</v>
      </c>
      <c r="M160">
        <v>1</v>
      </c>
      <c r="AI160" t="s">
        <v>1</v>
      </c>
      <c r="AJ160" t="str">
        <f t="shared" si="64"/>
        <v>00h</v>
      </c>
      <c r="AK160" t="s">
        <v>0</v>
      </c>
      <c r="AN160" t="str">
        <f t="shared" si="65"/>
        <v>00h</v>
      </c>
      <c r="AO160" t="s">
        <v>0</v>
      </c>
      <c r="AR160" t="str">
        <f t="shared" si="66"/>
        <v>0FFh</v>
      </c>
      <c r="AS160" t="s">
        <v>0</v>
      </c>
      <c r="AV160" t="str">
        <f t="shared" si="67"/>
        <v>040h</v>
      </c>
      <c r="AW160" t="s">
        <v>0</v>
      </c>
      <c r="AZ160" t="str">
        <f t="shared" si="68"/>
        <v>00h</v>
      </c>
      <c r="BA160" t="s">
        <v>0</v>
      </c>
      <c r="BD160" t="str">
        <f t="shared" si="69"/>
        <v>00h</v>
      </c>
      <c r="BE160" t="s">
        <v>0</v>
      </c>
      <c r="BH160" t="str">
        <f t="shared" si="70"/>
        <v>00h</v>
      </c>
      <c r="BI160" t="s">
        <v>0</v>
      </c>
      <c r="BL160" t="str">
        <f t="shared" si="71"/>
        <v>00h</v>
      </c>
      <c r="BN160" t="str">
        <f>_xlfn.CONCAT(AI158:BM158)</f>
        <v>db 00h,0Dh,03Fh,0FDh,011h,015h,00h,00h</v>
      </c>
    </row>
    <row r="161" spans="1:66" x14ac:dyDescent="0.2">
      <c r="I161">
        <v>3</v>
      </c>
      <c r="J161">
        <v>3</v>
      </c>
      <c r="K161">
        <v>3</v>
      </c>
      <c r="L161">
        <v>1</v>
      </c>
      <c r="AI161" t="s">
        <v>1</v>
      </c>
      <c r="AJ161" t="str">
        <f t="shared" si="64"/>
        <v>00h</v>
      </c>
      <c r="AK161" t="s">
        <v>0</v>
      </c>
      <c r="AN161" t="str">
        <f t="shared" si="65"/>
        <v>00h</v>
      </c>
      <c r="AO161" t="s">
        <v>0</v>
      </c>
      <c r="AR161" t="str">
        <f t="shared" si="66"/>
        <v>0FDh</v>
      </c>
      <c r="AS161" t="s">
        <v>0</v>
      </c>
      <c r="AV161" t="str">
        <f t="shared" si="67"/>
        <v>00h</v>
      </c>
      <c r="AW161" t="s">
        <v>0</v>
      </c>
      <c r="AZ161" t="str">
        <f t="shared" si="68"/>
        <v>00h</v>
      </c>
      <c r="BA161" t="s">
        <v>0</v>
      </c>
      <c r="BD161" t="str">
        <f t="shared" si="69"/>
        <v>00h</v>
      </c>
      <c r="BE161" t="s">
        <v>0</v>
      </c>
      <c r="BH161" t="str">
        <f t="shared" si="70"/>
        <v>00h</v>
      </c>
      <c r="BI161" t="s">
        <v>0</v>
      </c>
      <c r="BL161" t="str">
        <f t="shared" si="71"/>
        <v>00h</v>
      </c>
      <c r="BN161" t="str">
        <f>_xlfn.CONCAT(AI160:BM160)</f>
        <v>db 00h,00h,0FFh,040h,00h,00h,00h,00h</v>
      </c>
    </row>
    <row r="162" spans="1:66" x14ac:dyDescent="0.2">
      <c r="H162">
        <v>1</v>
      </c>
      <c r="I162">
        <v>1</v>
      </c>
      <c r="J162">
        <v>1</v>
      </c>
      <c r="K162">
        <v>1</v>
      </c>
      <c r="AI162" t="s">
        <v>1</v>
      </c>
      <c r="AJ162" t="str">
        <f t="shared" si="64"/>
        <v>00h</v>
      </c>
      <c r="AK162" t="s">
        <v>0</v>
      </c>
      <c r="AN162" t="str">
        <f t="shared" si="65"/>
        <v>01h</v>
      </c>
      <c r="AO162" t="s">
        <v>0</v>
      </c>
      <c r="AR162" t="str">
        <f t="shared" si="66"/>
        <v>054h</v>
      </c>
      <c r="AS162" t="s">
        <v>0</v>
      </c>
      <c r="AV162" t="str">
        <f t="shared" si="67"/>
        <v>00h</v>
      </c>
      <c r="AW162" t="s">
        <v>0</v>
      </c>
      <c r="AZ162" t="str">
        <f t="shared" si="68"/>
        <v>00h</v>
      </c>
      <c r="BA162" t="s">
        <v>0</v>
      </c>
      <c r="BD162" t="str">
        <f t="shared" si="69"/>
        <v>00h</v>
      </c>
      <c r="BE162" t="s">
        <v>0</v>
      </c>
      <c r="BH162" t="str">
        <f t="shared" si="70"/>
        <v>00h</v>
      </c>
      <c r="BI162" t="s">
        <v>0</v>
      </c>
      <c r="BL162" t="str">
        <f t="shared" si="71"/>
        <v>00h</v>
      </c>
      <c r="BN162" t="str">
        <f>_xlfn.CONCAT(AI162:BM162)</f>
        <v>db 00h,01h,054h,00h,00h,00h,00h,00h</v>
      </c>
    </row>
    <row r="163" spans="1:66" x14ac:dyDescent="0.2">
      <c r="AI163" s="1" t="s">
        <v>14</v>
      </c>
    </row>
    <row r="164" spans="1:66" x14ac:dyDescent="0.2">
      <c r="A164">
        <v>3</v>
      </c>
      <c r="E164">
        <v>3</v>
      </c>
      <c r="I164">
        <v>3</v>
      </c>
      <c r="M164">
        <v>3</v>
      </c>
      <c r="Q164">
        <v>3</v>
      </c>
      <c r="U164">
        <v>3</v>
      </c>
      <c r="Y164">
        <v>3</v>
      </c>
      <c r="AC164">
        <v>3</v>
      </c>
      <c r="AG164">
        <v>3</v>
      </c>
      <c r="AO164" t="s">
        <v>20</v>
      </c>
      <c r="AW164" t="s">
        <v>21</v>
      </c>
      <c r="BE164" s="2" t="s">
        <v>22</v>
      </c>
      <c r="BM164" s="2" t="s">
        <v>23</v>
      </c>
    </row>
    <row r="165" spans="1:66" x14ac:dyDescent="0.2">
      <c r="E165">
        <v>3</v>
      </c>
      <c r="L165">
        <v>3</v>
      </c>
      <c r="M165">
        <v>3</v>
      </c>
      <c r="N165">
        <v>3</v>
      </c>
      <c r="T165">
        <v>3</v>
      </c>
      <c r="U165">
        <v>3</v>
      </c>
      <c r="V165">
        <v>3</v>
      </c>
      <c r="AD165">
        <v>3</v>
      </c>
      <c r="AE165">
        <v>0</v>
      </c>
      <c r="AI165" t="s">
        <v>1</v>
      </c>
      <c r="AJ165" t="str">
        <f>"0"&amp;DEC2HEX(A165*64+B165*16+C165*4+D165)&amp;"h"</f>
        <v>00h</v>
      </c>
      <c r="AK165" t="s">
        <v>0</v>
      </c>
      <c r="AN165" t="str">
        <f>"0"&amp;DEC2HEX(E165*64+F165*16+G165*4+H165)&amp;"h"</f>
        <v>0C0h</v>
      </c>
      <c r="AO165" t="str">
        <f>"db "&amp;_xlfn.CONCAT(AJ165:AN165)</f>
        <v>db 00h,0C0h</v>
      </c>
      <c r="AR165" t="str">
        <f>"0"&amp;DEC2HEX(I165*64+J165*16+K165*4+L165)&amp;"h"</f>
        <v>03h</v>
      </c>
      <c r="AS165" t="s">
        <v>0</v>
      </c>
      <c r="AV165" t="str">
        <f>"0"&amp;DEC2HEX(M165*64+N165*16+O165*4+P165)&amp;"h"</f>
        <v>0F0h</v>
      </c>
      <c r="AW165" t="str">
        <f>"db "&amp;_xlfn.CONCAT(AR165:AV165)</f>
        <v>db 03h,0F0h</v>
      </c>
      <c r="AZ165" t="str">
        <f>"0"&amp;DEC2HEX(Q165*64+R165*16+S165*4+T165)&amp;"h"</f>
        <v>03h</v>
      </c>
      <c r="BA165" t="s">
        <v>0</v>
      </c>
      <c r="BD165" t="str">
        <f>"0"&amp;DEC2HEX(U165*64+V165*16+W165*4+X165)&amp;"h"</f>
        <v>0F0h</v>
      </c>
      <c r="BE165" t="str">
        <f>"db "&amp;_xlfn.CONCAT(AZ165:BD165)</f>
        <v>db 03h,0F0h</v>
      </c>
      <c r="BH165" t="str">
        <f>"0"&amp;DEC2HEX(Y165*64+Z165*16+AA165*4+AB165)&amp;"h"</f>
        <v>00h</v>
      </c>
      <c r="BI165" t="s">
        <v>0</v>
      </c>
      <c r="BL165" t="str">
        <f>"0"&amp;DEC2HEX(AC165*64+AD165*16+AE165*4+AF165)&amp;"h"</f>
        <v>030h</v>
      </c>
      <c r="BM165" t="str">
        <f>"db "&amp;_xlfn.CONCAT(BH165:BL165)</f>
        <v>db 00h,030h</v>
      </c>
    </row>
    <row r="166" spans="1:66" x14ac:dyDescent="0.2">
      <c r="D166">
        <v>3</v>
      </c>
      <c r="E166">
        <v>3</v>
      </c>
      <c r="K166">
        <v>3</v>
      </c>
      <c r="O166">
        <v>3</v>
      </c>
      <c r="S166">
        <v>3</v>
      </c>
      <c r="W166">
        <v>3</v>
      </c>
      <c r="AC166">
        <v>3</v>
      </c>
      <c r="AD166">
        <v>3</v>
      </c>
      <c r="AE166">
        <v>0</v>
      </c>
      <c r="AI166" t="s">
        <v>1</v>
      </c>
      <c r="AJ166" t="str">
        <f>"0"&amp;DEC2HEX(A166*64+B166*16+C166*4+D166)&amp;"h"</f>
        <v>03h</v>
      </c>
      <c r="AK166" t="s">
        <v>0</v>
      </c>
      <c r="AN166" t="str">
        <f>"0"&amp;DEC2HEX(E166*64+F166*16+G166*4+H166)&amp;"h"</f>
        <v>0C0h</v>
      </c>
      <c r="AO166" t="str">
        <f>"db "&amp;_xlfn.CONCAT(AJ167:AN167)</f>
        <v>db 00h,0C0h</v>
      </c>
      <c r="AR166" t="str">
        <f>"0"&amp;DEC2HEX(I166*64+J166*16+K166*4+L166)&amp;"h"</f>
        <v>0Ch</v>
      </c>
      <c r="AS166" t="s">
        <v>0</v>
      </c>
      <c r="AV166" t="str">
        <f>"0"&amp;DEC2HEX(M166*64+N166*16+O166*4+P166)&amp;"h"</f>
        <v>0Ch</v>
      </c>
      <c r="AW166" t="str">
        <f>"db "&amp;_xlfn.CONCAT(AR167:AV167)</f>
        <v>db 00h,0Ch</v>
      </c>
      <c r="AZ166" t="str">
        <f>"0"&amp;DEC2HEX(Q166*64+R166*16+S166*4+T166)&amp;"h"</f>
        <v>0Ch</v>
      </c>
      <c r="BA166" t="s">
        <v>0</v>
      </c>
      <c r="BD166" t="str">
        <f>"0"&amp;DEC2HEX(U166*64+V166*16+W166*4+X166)&amp;"h"</f>
        <v>0Ch</v>
      </c>
      <c r="BE166" t="str">
        <f>"db "&amp;_xlfn.CONCAT(AZ167:BD167)</f>
        <v>db 00h,0Ch</v>
      </c>
      <c r="BH166" t="str">
        <f>"0"&amp;DEC2HEX(Y166*64+Z166*16+AA166*4+AB166)&amp;"h"</f>
        <v>00h</v>
      </c>
      <c r="BI166" t="s">
        <v>0</v>
      </c>
      <c r="BL166" t="str">
        <f>"0"&amp;DEC2HEX(AC166*64+AD166*16+AE166*4+AF166)&amp;"h"</f>
        <v>0F0h</v>
      </c>
      <c r="BM166" t="str">
        <f>"db "&amp;_xlfn.CONCAT(BH167:BL167)</f>
        <v>db 03h,030h</v>
      </c>
    </row>
    <row r="167" spans="1:66" x14ac:dyDescent="0.2">
      <c r="E167">
        <v>3</v>
      </c>
      <c r="O167">
        <v>3</v>
      </c>
      <c r="W167">
        <v>3</v>
      </c>
      <c r="AB167">
        <v>3</v>
      </c>
      <c r="AD167">
        <v>3</v>
      </c>
      <c r="AE167">
        <v>0</v>
      </c>
      <c r="AI167" t="s">
        <v>1</v>
      </c>
      <c r="AJ167" t="str">
        <f>"0"&amp;DEC2HEX(A167*64+B167*16+C167*4+D167)&amp;"h"</f>
        <v>00h</v>
      </c>
      <c r="AK167" t="s">
        <v>0</v>
      </c>
      <c r="AN167" t="str">
        <f>"0"&amp;DEC2HEX(E167*64+F167*16+G167*4+H167)&amp;"h"</f>
        <v>0C0h</v>
      </c>
      <c r="AO167" t="str">
        <f>"db "&amp;_xlfn.CONCAT(AJ169:AN169)</f>
        <v>db 00h,0C0h</v>
      </c>
      <c r="AR167" t="str">
        <f>"0"&amp;DEC2HEX(I167*64+J167*16+K167*4+L167)&amp;"h"</f>
        <v>00h</v>
      </c>
      <c r="AS167" t="s">
        <v>0</v>
      </c>
      <c r="AV167" t="str">
        <f>"0"&amp;DEC2HEX(M167*64+N167*16+O167*4+P167)&amp;"h"</f>
        <v>0Ch</v>
      </c>
      <c r="AW167" t="str">
        <f>"db "&amp;_xlfn.CONCAT(AR169:AV169)</f>
        <v>db 00h,0C0h</v>
      </c>
      <c r="AZ167" t="str">
        <f>"0"&amp;DEC2HEX(Q167*64+R167*16+S167*4+T167)&amp;"h"</f>
        <v>00h</v>
      </c>
      <c r="BA167" t="s">
        <v>0</v>
      </c>
      <c r="BD167" t="str">
        <f>"0"&amp;DEC2HEX(U167*64+V167*16+W167*4+X167)&amp;"h"</f>
        <v>0Ch</v>
      </c>
      <c r="BE167" t="str">
        <f>"db "&amp;_xlfn.CONCAT(AZ169:BD169)</f>
        <v>db 00h,0F0h</v>
      </c>
      <c r="BH167" t="str">
        <f>"0"&amp;DEC2HEX(Y167*64+Z167*16+AA167*4+AB167)&amp;"h"</f>
        <v>03h</v>
      </c>
      <c r="BI167" t="s">
        <v>0</v>
      </c>
      <c r="BL167" t="str">
        <f>"0"&amp;DEC2HEX(AC167*64+AD167*16+AE167*4+AF167)&amp;"h"</f>
        <v>030h</v>
      </c>
      <c r="BM167" t="str">
        <f>"db "&amp;_xlfn.CONCAT(BH169:BL169)</f>
        <v>db 0Fh,0FCh</v>
      </c>
    </row>
    <row r="168" spans="1:66" x14ac:dyDescent="0.2">
      <c r="E168">
        <v>3</v>
      </c>
      <c r="N168">
        <v>3</v>
      </c>
      <c r="U168">
        <v>3</v>
      </c>
      <c r="V168">
        <v>3</v>
      </c>
      <c r="AA168">
        <v>3</v>
      </c>
      <c r="AB168">
        <v>0</v>
      </c>
      <c r="AC168">
        <v>0</v>
      </c>
      <c r="AD168">
        <v>3</v>
      </c>
      <c r="AE168">
        <v>0</v>
      </c>
      <c r="AI168" t="s">
        <v>1</v>
      </c>
      <c r="AJ168" t="str">
        <f>"0"&amp;DEC2HEX(A168*64+B168*16+C168*4+D168)&amp;"h"</f>
        <v>00h</v>
      </c>
      <c r="AK168" t="s">
        <v>0</v>
      </c>
      <c r="AN168" t="str">
        <f>"0"&amp;DEC2HEX(E168*64+F168*16+G168*4+H168)&amp;"h"</f>
        <v>0C0h</v>
      </c>
      <c r="AO168" t="str">
        <f>"db "&amp;_xlfn.CONCAT(AJ171:AN171)</f>
        <v>db 00h,0C0h</v>
      </c>
      <c r="AR168" t="str">
        <f>"0"&amp;DEC2HEX(I168*64+J168*16+K168*4+L168)&amp;"h"</f>
        <v>00h</v>
      </c>
      <c r="AS168" t="s">
        <v>0</v>
      </c>
      <c r="AV168" t="str">
        <f>"0"&amp;DEC2HEX(M168*64+N168*16+O168*4+P168)&amp;"h"</f>
        <v>030h</v>
      </c>
      <c r="AW168" t="str">
        <f>"db "&amp;_xlfn.CONCAT(AR171:AV171)</f>
        <v>db 0Ch,0Ch</v>
      </c>
      <c r="AZ168" t="str">
        <f>"0"&amp;DEC2HEX(Q168*64+R168*16+S168*4+T168)&amp;"h"</f>
        <v>00h</v>
      </c>
      <c r="BA168" t="s">
        <v>0</v>
      </c>
      <c r="BD168" t="str">
        <f>"0"&amp;DEC2HEX(U168*64+V168*16+W168*4+X168)&amp;"h"</f>
        <v>0F0h</v>
      </c>
      <c r="BE168" t="str">
        <f>"db "&amp;_xlfn.CONCAT(AZ171:BD171)</f>
        <v>db 0Ch,0Ch</v>
      </c>
      <c r="BH168" t="str">
        <f>"0"&amp;DEC2HEX(Y168*64+Z168*16+AA168*4+AB168)&amp;"h"</f>
        <v>0Ch</v>
      </c>
      <c r="BI168" t="s">
        <v>0</v>
      </c>
      <c r="BL168" t="str">
        <f>"0"&amp;DEC2HEX(AC168*64+AD168*16+AE168*4+AF168)&amp;"h"</f>
        <v>030h</v>
      </c>
      <c r="BM168" t="str">
        <f>"db "&amp;_xlfn.CONCAT(BH171:BL171)</f>
        <v>db 00h,030h</v>
      </c>
    </row>
    <row r="169" spans="1:66" x14ac:dyDescent="0.2">
      <c r="E169">
        <v>3</v>
      </c>
      <c r="M169">
        <v>3</v>
      </c>
      <c r="U169">
        <v>3</v>
      </c>
      <c r="V169">
        <v>3</v>
      </c>
      <c r="W169">
        <v>0</v>
      </c>
      <c r="AA169">
        <v>3</v>
      </c>
      <c r="AB169">
        <v>3</v>
      </c>
      <c r="AC169">
        <v>3</v>
      </c>
      <c r="AD169">
        <v>3</v>
      </c>
      <c r="AE169">
        <v>3</v>
      </c>
      <c r="AI169" t="s">
        <v>1</v>
      </c>
      <c r="AJ169" t="str">
        <f>"0"&amp;DEC2HEX(A169*64+B169*16+C169*4+D169)&amp;"h"</f>
        <v>00h</v>
      </c>
      <c r="AK169" t="s">
        <v>0</v>
      </c>
      <c r="AN169" t="str">
        <f>"0"&amp;DEC2HEX(E169*64+F169*16+G169*4+H169)&amp;"h"</f>
        <v>0C0h</v>
      </c>
      <c r="AO169" t="str">
        <f>"db "&amp;_xlfn.CONCAT(AJ166:AN166)</f>
        <v>db 03h,0C0h</v>
      </c>
      <c r="AR169" t="str">
        <f>"0"&amp;DEC2HEX(I169*64+J169*16+K169*4+L169)&amp;"h"</f>
        <v>00h</v>
      </c>
      <c r="AS169" t="s">
        <v>0</v>
      </c>
      <c r="AV169" t="str">
        <f>"0"&amp;DEC2HEX(M169*64+N169*16+O169*4+P169)&amp;"h"</f>
        <v>0C0h</v>
      </c>
      <c r="AW169" t="str">
        <f>"db "&amp;_xlfn.CONCAT(AR166:AV166)</f>
        <v>db 0Ch,0Ch</v>
      </c>
      <c r="AZ169" t="str">
        <f>"0"&amp;DEC2HEX(Q169*64+R169*16+S169*4+T169)&amp;"h"</f>
        <v>00h</v>
      </c>
      <c r="BA169" t="s">
        <v>0</v>
      </c>
      <c r="BD169" t="str">
        <f>"0"&amp;DEC2HEX(U169*64+V169*16+W169*4+X169)&amp;"h"</f>
        <v>0F0h</v>
      </c>
      <c r="BE169" t="str">
        <f>"db "&amp;_xlfn.CONCAT(AZ166:BD166)</f>
        <v>db 0Ch,0Ch</v>
      </c>
      <c r="BH169" t="str">
        <f>"0"&amp;DEC2HEX(Y169*64+Z169*16+AA169*4+AB169)&amp;"h"</f>
        <v>0Fh</v>
      </c>
      <c r="BI169" t="s">
        <v>0</v>
      </c>
      <c r="BL169" t="str">
        <f>"0"&amp;DEC2HEX(AC169*64+AD169*16+AE169*4+AF169)&amp;"h"</f>
        <v>0FCh</v>
      </c>
      <c r="BM169" t="str">
        <f>"db "&amp;_xlfn.CONCAT(BH166:BL166)</f>
        <v>db 00h,0F0h</v>
      </c>
    </row>
    <row r="170" spans="1:66" x14ac:dyDescent="0.2">
      <c r="E170">
        <v>3</v>
      </c>
      <c r="L170">
        <v>3</v>
      </c>
      <c r="W170">
        <v>3</v>
      </c>
      <c r="AD170">
        <v>3</v>
      </c>
      <c r="AE170">
        <v>0</v>
      </c>
      <c r="AI170" t="s">
        <v>1</v>
      </c>
      <c r="AJ170" t="str">
        <f>"0"&amp;DEC2HEX(A170*64+B170*16+C170*4+D170)&amp;"h"</f>
        <v>00h</v>
      </c>
      <c r="AK170" t="s">
        <v>0</v>
      </c>
      <c r="AN170" t="str">
        <f>"0"&amp;DEC2HEX(E170*64+F170*16+G170*4+H170)&amp;"h"</f>
        <v>0C0h</v>
      </c>
      <c r="AO170" t="str">
        <f>"db "&amp;_xlfn.CONCAT(AJ168:AN168)</f>
        <v>db 00h,0C0h</v>
      </c>
      <c r="AR170" t="str">
        <f>"0"&amp;DEC2HEX(I170*64+J170*16+K170*4+L170)&amp;"h"</f>
        <v>03h</v>
      </c>
      <c r="AS170" t="s">
        <v>0</v>
      </c>
      <c r="AV170" t="str">
        <f>"0"&amp;DEC2HEX(M170*64+N170*16+O170*4+P170)&amp;"h"</f>
        <v>00h</v>
      </c>
      <c r="AW170" t="str">
        <f>"db "&amp;_xlfn.CONCAT(AR168:AV168)</f>
        <v>db 00h,030h</v>
      </c>
      <c r="AZ170" t="str">
        <f>"0"&amp;DEC2HEX(Q170*64+R170*16+S170*4+T170)&amp;"h"</f>
        <v>00h</v>
      </c>
      <c r="BA170" t="s">
        <v>0</v>
      </c>
      <c r="BD170" t="str">
        <f>"0"&amp;DEC2HEX(U170*64+V170*16+W170*4+X170)&amp;"h"</f>
        <v>0Ch</v>
      </c>
      <c r="BE170" t="str">
        <f>"db "&amp;_xlfn.CONCAT(AZ168:BD168)</f>
        <v>db 00h,0F0h</v>
      </c>
      <c r="BH170" t="str">
        <f>"0"&amp;DEC2HEX(Y170*64+Z170*16+AA170*4+AB170)&amp;"h"</f>
        <v>00h</v>
      </c>
      <c r="BI170" t="s">
        <v>0</v>
      </c>
      <c r="BL170" t="str">
        <f>"0"&amp;DEC2HEX(AC170*64+AD170*16+AE170*4+AF170)&amp;"h"</f>
        <v>030h</v>
      </c>
      <c r="BM170" t="str">
        <f>"db "&amp;_xlfn.CONCAT(BH168:BL168)</f>
        <v>db 0Ch,030h</v>
      </c>
    </row>
    <row r="171" spans="1:66" x14ac:dyDescent="0.2">
      <c r="E171">
        <v>3</v>
      </c>
      <c r="K171">
        <v>3</v>
      </c>
      <c r="O171">
        <v>3</v>
      </c>
      <c r="S171">
        <v>3</v>
      </c>
      <c r="V171">
        <v>0</v>
      </c>
      <c r="W171">
        <v>3</v>
      </c>
      <c r="AD171">
        <v>3</v>
      </c>
      <c r="AE171">
        <v>0</v>
      </c>
      <c r="AI171" t="s">
        <v>1</v>
      </c>
      <c r="AJ171" t="str">
        <f>"0"&amp;DEC2HEX(A171*64+B171*16+C171*4+D171)&amp;"h"</f>
        <v>00h</v>
      </c>
      <c r="AK171" t="s">
        <v>0</v>
      </c>
      <c r="AN171" t="str">
        <f>"0"&amp;DEC2HEX(E171*64+F171*16+G171*4+H171)&amp;"h"</f>
        <v>0C0h</v>
      </c>
      <c r="AO171" t="str">
        <f>"db "&amp;_xlfn.CONCAT(AJ170:AN170)</f>
        <v>db 00h,0C0h</v>
      </c>
      <c r="AR171" t="str">
        <f>"0"&amp;DEC2HEX(I171*64+J171*16+K171*4+L171)&amp;"h"</f>
        <v>0Ch</v>
      </c>
      <c r="AS171" t="s">
        <v>0</v>
      </c>
      <c r="AV171" t="str">
        <f>"0"&amp;DEC2HEX(M171*64+N171*16+O171*4+P171)&amp;"h"</f>
        <v>0Ch</v>
      </c>
      <c r="AW171" t="str">
        <f>"db "&amp;_xlfn.CONCAT(AR170:AV170)</f>
        <v>db 03h,00h</v>
      </c>
      <c r="AZ171" t="str">
        <f>"0"&amp;DEC2HEX(Q171*64+R171*16+S171*4+T171)&amp;"h"</f>
        <v>0Ch</v>
      </c>
      <c r="BA171" t="s">
        <v>0</v>
      </c>
      <c r="BD171" t="str">
        <f>"0"&amp;DEC2HEX(U171*64+V171*16+W171*4+X171)&amp;"h"</f>
        <v>0Ch</v>
      </c>
      <c r="BE171" t="str">
        <f>"db "&amp;_xlfn.CONCAT(AZ170:BD170)</f>
        <v>db 00h,0Ch</v>
      </c>
      <c r="BH171" t="str">
        <f>"0"&amp;DEC2HEX(Y171*64+Z171*16+AA171*4+AB171)&amp;"h"</f>
        <v>00h</v>
      </c>
      <c r="BI171" t="s">
        <v>0</v>
      </c>
      <c r="BL171" t="str">
        <f>"0"&amp;DEC2HEX(AC171*64+AD171*16+AE171*4+AF171)&amp;"h"</f>
        <v>030h</v>
      </c>
      <c r="BM171" t="str">
        <f>"db "&amp;_xlfn.CONCAT(BH170:BL170)</f>
        <v>db 00h,030h</v>
      </c>
    </row>
    <row r="172" spans="1:66" x14ac:dyDescent="0.2">
      <c r="C172">
        <v>3</v>
      </c>
      <c r="D172">
        <v>3</v>
      </c>
      <c r="E172">
        <v>3</v>
      </c>
      <c r="F172">
        <v>3</v>
      </c>
      <c r="G172">
        <v>3</v>
      </c>
      <c r="K172">
        <v>3</v>
      </c>
      <c r="L172">
        <v>3</v>
      </c>
      <c r="M172">
        <v>3</v>
      </c>
      <c r="N172">
        <v>3</v>
      </c>
      <c r="O172">
        <v>3</v>
      </c>
      <c r="T172">
        <v>3</v>
      </c>
      <c r="U172">
        <v>3</v>
      </c>
      <c r="V172">
        <v>3</v>
      </c>
      <c r="AC172">
        <v>3</v>
      </c>
      <c r="AD172">
        <v>3</v>
      </c>
      <c r="AE172">
        <v>3</v>
      </c>
      <c r="AI172" t="s">
        <v>1</v>
      </c>
      <c r="AJ172" t="str">
        <f>"0"&amp;DEC2HEX(A172*64+B172*16+C172*4+D172)&amp;"h"</f>
        <v>0Fh</v>
      </c>
      <c r="AK172" t="s">
        <v>0</v>
      </c>
      <c r="AN172" t="str">
        <f>"0"&amp;DEC2HEX(E172*64+F172*16+G172*4+H172)&amp;"h"</f>
        <v>0FCh</v>
      </c>
      <c r="AO172" t="str">
        <f>"db "&amp;_xlfn.CONCAT(AJ172:AN172)</f>
        <v>db 0Fh,0FCh</v>
      </c>
      <c r="AR172" t="str">
        <f>"0"&amp;DEC2HEX(I172*64+J172*16+K172*4+L172)&amp;"h"</f>
        <v>0Fh</v>
      </c>
      <c r="AS172" t="s">
        <v>0</v>
      </c>
      <c r="AV172" t="str">
        <f>"0"&amp;DEC2HEX(M172*64+N172*16+O172*4+P172)&amp;"h"</f>
        <v>0FCh</v>
      </c>
      <c r="AW172" t="str">
        <f>"db "&amp;_xlfn.CONCAT(AR172:AV172)</f>
        <v>db 0Fh,0FCh</v>
      </c>
      <c r="AZ172" t="str">
        <f>"0"&amp;DEC2HEX(Q172*64+R172*16+S172*4+T172)&amp;"h"</f>
        <v>03h</v>
      </c>
      <c r="BA172" t="s">
        <v>0</v>
      </c>
      <c r="BD172" t="str">
        <f>"0"&amp;DEC2HEX(U172*64+V172*16+W172*4+X172)&amp;"h"</f>
        <v>0F0h</v>
      </c>
      <c r="BE172" t="str">
        <f>"db "&amp;_xlfn.CONCAT(AZ172:BD172)</f>
        <v>db 03h,0F0h</v>
      </c>
      <c r="BH172" t="str">
        <f>"0"&amp;DEC2HEX(Y172*64+Z172*16+AA172*4+AB172)&amp;"h"</f>
        <v>00h</v>
      </c>
      <c r="BI172" t="s">
        <v>0</v>
      </c>
      <c r="BL172" t="str">
        <f>"0"&amp;DEC2HEX(AC172*64+AD172*16+AE172*4+AF172)&amp;"h"</f>
        <v>0FCh</v>
      </c>
      <c r="BM172" t="str">
        <f>"db "&amp;_xlfn.CONCAT(BH172:BL172)</f>
        <v>db 00h,0FCh</v>
      </c>
    </row>
    <row r="174" spans="1:66" x14ac:dyDescent="0.2">
      <c r="A174">
        <v>3</v>
      </c>
      <c r="E174">
        <v>3</v>
      </c>
      <c r="I174">
        <v>3</v>
      </c>
      <c r="M174">
        <v>3</v>
      </c>
      <c r="Q174">
        <v>3</v>
      </c>
      <c r="U174">
        <v>3</v>
      </c>
      <c r="Y174">
        <v>3</v>
      </c>
      <c r="AC174">
        <v>3</v>
      </c>
      <c r="AG174">
        <v>3</v>
      </c>
      <c r="AO174" t="s">
        <v>24</v>
      </c>
      <c r="AW174" t="s">
        <v>25</v>
      </c>
      <c r="BE174" s="2" t="s">
        <v>26</v>
      </c>
      <c r="BM174" s="2" t="s">
        <v>27</v>
      </c>
    </row>
    <row r="175" spans="1:66" x14ac:dyDescent="0.2">
      <c r="C175">
        <v>3</v>
      </c>
      <c r="D175">
        <v>3</v>
      </c>
      <c r="E175">
        <v>3</v>
      </c>
      <c r="F175">
        <v>3</v>
      </c>
      <c r="G175">
        <v>3</v>
      </c>
      <c r="L175">
        <v>3</v>
      </c>
      <c r="M175">
        <v>3</v>
      </c>
      <c r="N175">
        <v>3</v>
      </c>
      <c r="S175">
        <v>3</v>
      </c>
      <c r="T175">
        <v>3</v>
      </c>
      <c r="U175">
        <v>3</v>
      </c>
      <c r="V175">
        <v>3</v>
      </c>
      <c r="W175">
        <v>3</v>
      </c>
      <c r="AB175">
        <v>3</v>
      </c>
      <c r="AC175">
        <v>3</v>
      </c>
      <c r="AD175">
        <v>3</v>
      </c>
      <c r="AE175">
        <v>0</v>
      </c>
      <c r="AI175" t="s">
        <v>1</v>
      </c>
      <c r="AJ175" t="str">
        <f>"0"&amp;DEC2HEX(A175*64+B175*16+C175*4+D175)&amp;"h"</f>
        <v>0Fh</v>
      </c>
      <c r="AK175" t="s">
        <v>0</v>
      </c>
      <c r="AN175" t="str">
        <f>"0"&amp;DEC2HEX(E175*64+F175*16+G175*4+H175)&amp;"h"</f>
        <v>0FCh</v>
      </c>
      <c r="AO175" t="str">
        <f>"db "&amp;_xlfn.CONCAT(AJ175:AN175)</f>
        <v>db 0Fh,0FCh</v>
      </c>
      <c r="AR175" t="str">
        <f>"0"&amp;DEC2HEX(I175*64+J175*16+K175*4+L175)&amp;"h"</f>
        <v>03h</v>
      </c>
      <c r="AS175" t="s">
        <v>0</v>
      </c>
      <c r="AV175" t="str">
        <f>"0"&amp;DEC2HEX(M175*64+N175*16+O175*4+P175)&amp;"h"</f>
        <v>0F0h</v>
      </c>
      <c r="AW175" t="str">
        <f>"db "&amp;_xlfn.CONCAT(AR175:AV175)</f>
        <v>db 03h,0F0h</v>
      </c>
      <c r="AZ175" t="str">
        <f>"0"&amp;DEC2HEX(Q175*64+R175*16+S175*4+T175)&amp;"h"</f>
        <v>0Fh</v>
      </c>
      <c r="BA175" t="s">
        <v>0</v>
      </c>
      <c r="BD175" t="str">
        <f>"0"&amp;DEC2HEX(U175*64+V175*16+W175*4+X175)&amp;"h"</f>
        <v>0FCh</v>
      </c>
      <c r="BE175" t="str">
        <f>"db "&amp;_xlfn.CONCAT(AZ175:BD175)</f>
        <v>db 0Fh,0FCh</v>
      </c>
      <c r="BH175" t="str">
        <f>"0"&amp;DEC2HEX(Y175*64+Z175*16+AA175*4+AB175)&amp;"h"</f>
        <v>03h</v>
      </c>
      <c r="BI175" t="s">
        <v>0</v>
      </c>
      <c r="BL175" t="str">
        <f>"0"&amp;DEC2HEX(AC175*64+AD175*16+AE175*4+AF175)&amp;"h"</f>
        <v>0F0h</v>
      </c>
      <c r="BM175" t="str">
        <f>"db "&amp;_xlfn.CONCAT(BH175:BL175)</f>
        <v>db 03h,0F0h</v>
      </c>
    </row>
    <row r="176" spans="1:66" x14ac:dyDescent="0.2">
      <c r="C176">
        <v>3</v>
      </c>
      <c r="G176">
        <v>0</v>
      </c>
      <c r="K176">
        <v>3</v>
      </c>
      <c r="O176">
        <v>3</v>
      </c>
      <c r="S176">
        <v>3</v>
      </c>
      <c r="W176">
        <v>3</v>
      </c>
      <c r="AA176">
        <v>3</v>
      </c>
      <c r="AE176">
        <v>3</v>
      </c>
      <c r="AI176" t="s">
        <v>1</v>
      </c>
      <c r="AJ176" t="str">
        <f>"0"&amp;DEC2HEX(A176*64+B176*16+C176*4+D176)&amp;"h"</f>
        <v>0Ch</v>
      </c>
      <c r="AK176" t="s">
        <v>0</v>
      </c>
      <c r="AN176" t="str">
        <f>"0"&amp;DEC2HEX(E176*64+F176*16+G176*4+H176)&amp;"h"</f>
        <v>00h</v>
      </c>
      <c r="AO176" t="str">
        <f>"db "&amp;_xlfn.CONCAT(AJ177:AN177)</f>
        <v>db 0Ch,00h</v>
      </c>
      <c r="AR176" t="str">
        <f>"0"&amp;DEC2HEX(I176*64+J176*16+K176*4+L176)&amp;"h"</f>
        <v>0Ch</v>
      </c>
      <c r="AS176" t="s">
        <v>0</v>
      </c>
      <c r="AV176" t="str">
        <f>"0"&amp;DEC2HEX(M176*64+N176*16+O176*4+P176)&amp;"h"</f>
        <v>0Ch</v>
      </c>
      <c r="AW176" t="str">
        <f>"db "&amp;_xlfn.CONCAT(AR177:AV177)</f>
        <v>db 0Ch,00h</v>
      </c>
      <c r="AZ176" t="str">
        <f>"0"&amp;DEC2HEX(Q176*64+R176*16+S176*4+T176)&amp;"h"</f>
        <v>0Ch</v>
      </c>
      <c r="BA176" t="s">
        <v>0</v>
      </c>
      <c r="BD176" t="str">
        <f>"0"&amp;DEC2HEX(U176*64+V176*16+W176*4+X176)&amp;"h"</f>
        <v>0Ch</v>
      </c>
      <c r="BE176" t="str">
        <f>"db "&amp;_xlfn.CONCAT(AZ177:BD177)</f>
        <v>db 00h,030h</v>
      </c>
      <c r="BH176" t="str">
        <f>"0"&amp;DEC2HEX(Y176*64+Z176*16+AA176*4+AB176)&amp;"h"</f>
        <v>0Ch</v>
      </c>
      <c r="BI176" t="s">
        <v>0</v>
      </c>
      <c r="BL176" t="str">
        <f>"0"&amp;DEC2HEX(AC176*64+AD176*16+AE176*4+AF176)&amp;"h"</f>
        <v>0Ch</v>
      </c>
      <c r="BM176" t="str">
        <f>"db "&amp;_xlfn.CONCAT(BH177:BL177)</f>
        <v>db 0Ch,0Ch</v>
      </c>
    </row>
    <row r="177" spans="1:65" x14ac:dyDescent="0.2">
      <c r="C177">
        <v>3</v>
      </c>
      <c r="K177">
        <v>3</v>
      </c>
      <c r="V177">
        <v>3</v>
      </c>
      <c r="AA177">
        <v>3</v>
      </c>
      <c r="AE177">
        <v>3</v>
      </c>
      <c r="AI177" t="s">
        <v>1</v>
      </c>
      <c r="AJ177" t="str">
        <f>"0"&amp;DEC2HEX(A177*64+B177*16+C177*4+D177)&amp;"h"</f>
        <v>0Ch</v>
      </c>
      <c r="AK177" t="s">
        <v>0</v>
      </c>
      <c r="AN177" t="str">
        <f>"0"&amp;DEC2HEX(E177*64+F177*16+G177*4+H177)&amp;"h"</f>
        <v>00h</v>
      </c>
      <c r="AO177" t="str">
        <f>"db "&amp;_xlfn.CONCAT(AJ179:AN179)</f>
        <v>db 00h,0Ch</v>
      </c>
      <c r="AR177" t="str">
        <f>"0"&amp;DEC2HEX(I177*64+J177*16+K177*4+L177)&amp;"h"</f>
        <v>0Ch</v>
      </c>
      <c r="AS177" t="s">
        <v>0</v>
      </c>
      <c r="AV177" t="str">
        <f>"0"&amp;DEC2HEX(M177*64+N177*16+O177*4+P177)&amp;"h"</f>
        <v>00h</v>
      </c>
      <c r="AW177" t="str">
        <f>"db "&amp;_xlfn.CONCAT(AR179:AV179)</f>
        <v>db 0Fh,0F0h</v>
      </c>
      <c r="AZ177" t="str">
        <f>"0"&amp;DEC2HEX(Q177*64+R177*16+S177*4+T177)&amp;"h"</f>
        <v>00h</v>
      </c>
      <c r="BA177" t="s">
        <v>0</v>
      </c>
      <c r="BD177" t="str">
        <f>"0"&amp;DEC2HEX(U177*64+V177*16+W177*4+X177)&amp;"h"</f>
        <v>030h</v>
      </c>
      <c r="BE177" t="str">
        <f>"db "&amp;_xlfn.CONCAT(AZ179:BD179)</f>
        <v>db 00h,0C0h</v>
      </c>
      <c r="BH177" t="str">
        <f>"0"&amp;DEC2HEX(Y177*64+Z177*16+AA177*4+AB177)&amp;"h"</f>
        <v>0Ch</v>
      </c>
      <c r="BI177" t="s">
        <v>0</v>
      </c>
      <c r="BL177" t="str">
        <f>"0"&amp;DEC2HEX(AC177*64+AD177*16+AE177*4+AF177)&amp;"h"</f>
        <v>0Ch</v>
      </c>
      <c r="BM177" t="str">
        <f>"db "&amp;_xlfn.CONCAT(BH179:BL179)</f>
        <v>db 0Ch,0Ch</v>
      </c>
    </row>
    <row r="178" spans="1:65" x14ac:dyDescent="0.2">
      <c r="C178">
        <v>3</v>
      </c>
      <c r="D178">
        <v>3</v>
      </c>
      <c r="E178">
        <v>3</v>
      </c>
      <c r="F178">
        <v>3</v>
      </c>
      <c r="K178">
        <v>3</v>
      </c>
      <c r="V178">
        <v>3</v>
      </c>
      <c r="AB178">
        <v>3</v>
      </c>
      <c r="AC178">
        <v>3</v>
      </c>
      <c r="AD178">
        <v>3</v>
      </c>
      <c r="AI178" t="s">
        <v>1</v>
      </c>
      <c r="AJ178" t="str">
        <f>"0"&amp;DEC2HEX(A178*64+B178*16+C178*4+D178)&amp;"h"</f>
        <v>0Fh</v>
      </c>
      <c r="AK178" t="s">
        <v>0</v>
      </c>
      <c r="AN178" t="str">
        <f>"0"&amp;DEC2HEX(E178*64+F178*16+G178*4+H178)&amp;"h"</f>
        <v>0F0h</v>
      </c>
      <c r="AO178" t="str">
        <f>"db "&amp;_xlfn.CONCAT(AJ181:AN181)</f>
        <v>db 0Ch,0Ch</v>
      </c>
      <c r="AR178" t="str">
        <f>"0"&amp;DEC2HEX(I178*64+J178*16+K178*4+L178)&amp;"h"</f>
        <v>0Ch</v>
      </c>
      <c r="AS178" t="s">
        <v>0</v>
      </c>
      <c r="AV178" t="str">
        <f>"0"&amp;DEC2HEX(M178*64+N178*16+O178*4+P178)&amp;"h"</f>
        <v>00h</v>
      </c>
      <c r="AW178" t="str">
        <f>"db "&amp;_xlfn.CONCAT(AR181:AV181)</f>
        <v>db 0Ch,0Ch</v>
      </c>
      <c r="AZ178" t="str">
        <f>"0"&amp;DEC2HEX(Q178*64+R178*16+S178*4+T178)&amp;"h"</f>
        <v>00h</v>
      </c>
      <c r="BA178" t="s">
        <v>0</v>
      </c>
      <c r="BD178" t="str">
        <f>"0"&amp;DEC2HEX(U178*64+V178*16+W178*4+X178)&amp;"h"</f>
        <v>030h</v>
      </c>
      <c r="BE178" t="str">
        <f>"db "&amp;_xlfn.CONCAT(AZ181:BD181)</f>
        <v>db 03h,00h</v>
      </c>
      <c r="BH178" t="str">
        <f>"0"&amp;DEC2HEX(Y178*64+Z178*16+AA178*4+AB178)&amp;"h"</f>
        <v>03h</v>
      </c>
      <c r="BI178" t="s">
        <v>0</v>
      </c>
      <c r="BL178" t="str">
        <f>"0"&amp;DEC2HEX(AC178*64+AD178*16+AE178*4+AF178)&amp;"h"</f>
        <v>0F0h</v>
      </c>
      <c r="BM178" t="str">
        <f>"db "&amp;_xlfn.CONCAT(BH181:BL181)</f>
        <v>db 0Ch,0Ch</v>
      </c>
    </row>
    <row r="179" spans="1:65" x14ac:dyDescent="0.2">
      <c r="F179">
        <v>0</v>
      </c>
      <c r="G179">
        <v>3</v>
      </c>
      <c r="K179">
        <v>3</v>
      </c>
      <c r="L179">
        <v>3</v>
      </c>
      <c r="M179">
        <v>3</v>
      </c>
      <c r="N179">
        <v>3</v>
      </c>
      <c r="U179">
        <v>3</v>
      </c>
      <c r="AA179">
        <v>3</v>
      </c>
      <c r="AE179">
        <v>3</v>
      </c>
      <c r="AI179" t="s">
        <v>1</v>
      </c>
      <c r="AJ179" t="str">
        <f>"0"&amp;DEC2HEX(A179*64+B179*16+C179*4+D179)&amp;"h"</f>
        <v>00h</v>
      </c>
      <c r="AK179" t="s">
        <v>0</v>
      </c>
      <c r="AN179" t="str">
        <f>"0"&amp;DEC2HEX(E179*64+F179*16+G179*4+H179)&amp;"h"</f>
        <v>0Ch</v>
      </c>
      <c r="AO179" t="str">
        <f>"db "&amp;_xlfn.CONCAT(AJ176:AN176)</f>
        <v>db 0Ch,00h</v>
      </c>
      <c r="AR179" t="str">
        <f>"0"&amp;DEC2HEX(I179*64+J179*16+K179*4+L179)&amp;"h"</f>
        <v>0Fh</v>
      </c>
      <c r="AS179" t="s">
        <v>0</v>
      </c>
      <c r="AV179" t="str">
        <f>"0"&amp;DEC2HEX(M179*64+N179*16+O179*4+P179)&amp;"h"</f>
        <v>0F0h</v>
      </c>
      <c r="AW179" t="str">
        <f>"db "&amp;_xlfn.CONCAT(AR176:AV176)</f>
        <v>db 0Ch,0Ch</v>
      </c>
      <c r="AZ179" t="str">
        <f>"0"&amp;DEC2HEX(Q179*64+R179*16+S179*4+T179)&amp;"h"</f>
        <v>00h</v>
      </c>
      <c r="BA179" t="s">
        <v>0</v>
      </c>
      <c r="BD179" t="str">
        <f>"0"&amp;DEC2HEX(U179*64+V179*16+W179*4+X179)&amp;"h"</f>
        <v>0C0h</v>
      </c>
      <c r="BE179" t="str">
        <f>"db "&amp;_xlfn.CONCAT(AZ176:BD176)</f>
        <v>db 0Ch,0Ch</v>
      </c>
      <c r="BH179" t="str">
        <f>"0"&amp;DEC2HEX(Y179*64+Z179*16+AA179*4+AB179)&amp;"h"</f>
        <v>0Ch</v>
      </c>
      <c r="BI179" t="s">
        <v>0</v>
      </c>
      <c r="BL179" t="str">
        <f>"0"&amp;DEC2HEX(AC179*64+AD179*16+AE179*4+AF179)&amp;"h"</f>
        <v>0Ch</v>
      </c>
      <c r="BM179" t="str">
        <f>"db "&amp;_xlfn.CONCAT(BH176:BL176)</f>
        <v>db 0Ch,0Ch</v>
      </c>
    </row>
    <row r="180" spans="1:65" x14ac:dyDescent="0.2">
      <c r="G180">
        <v>3</v>
      </c>
      <c r="K180">
        <v>3</v>
      </c>
      <c r="O180">
        <v>3</v>
      </c>
      <c r="T180">
        <v>0</v>
      </c>
      <c r="U180">
        <v>3</v>
      </c>
      <c r="AA180">
        <v>3</v>
      </c>
      <c r="AE180">
        <v>3</v>
      </c>
      <c r="AI180" t="s">
        <v>1</v>
      </c>
      <c r="AJ180" t="str">
        <f>"0"&amp;DEC2HEX(A180*64+B180*16+C180*4+D180)&amp;"h"</f>
        <v>00h</v>
      </c>
      <c r="AK180" t="s">
        <v>0</v>
      </c>
      <c r="AN180" t="str">
        <f>"0"&amp;DEC2HEX(E180*64+F180*16+G180*4+H180)&amp;"h"</f>
        <v>0Ch</v>
      </c>
      <c r="AO180" t="str">
        <f>"db "&amp;_xlfn.CONCAT(AJ178:AN178)</f>
        <v>db 0Fh,0F0h</v>
      </c>
      <c r="AR180" t="str">
        <f>"0"&amp;DEC2HEX(I180*64+J180*16+K180*4+L180)&amp;"h"</f>
        <v>0Ch</v>
      </c>
      <c r="AS180" t="s">
        <v>0</v>
      </c>
      <c r="AV180" t="str">
        <f>"0"&amp;DEC2HEX(M180*64+N180*16+O180*4+P180)&amp;"h"</f>
        <v>0Ch</v>
      </c>
      <c r="AW180" t="str">
        <f>"db "&amp;_xlfn.CONCAT(AR178:AV178)</f>
        <v>db 0Ch,00h</v>
      </c>
      <c r="AZ180" t="str">
        <f>"0"&amp;DEC2HEX(Q180*64+R180*16+S180*4+T180)&amp;"h"</f>
        <v>00h</v>
      </c>
      <c r="BA180" t="s">
        <v>0</v>
      </c>
      <c r="BD180" t="str">
        <f>"0"&amp;DEC2HEX(U180*64+V180*16+W180*4+X180)&amp;"h"</f>
        <v>0C0h</v>
      </c>
      <c r="BE180" t="str">
        <f>"db "&amp;_xlfn.CONCAT(AZ178:BD178)</f>
        <v>db 00h,030h</v>
      </c>
      <c r="BH180" t="str">
        <f>"0"&amp;DEC2HEX(Y180*64+Z180*16+AA180*4+AB180)&amp;"h"</f>
        <v>0Ch</v>
      </c>
      <c r="BI180" t="s">
        <v>0</v>
      </c>
      <c r="BL180" t="str">
        <f>"0"&amp;DEC2HEX(AC180*64+AD180*16+AE180*4+AF180)&amp;"h"</f>
        <v>0Ch</v>
      </c>
      <c r="BM180" t="str">
        <f>"db "&amp;_xlfn.CONCAT(BH178:BL178)</f>
        <v>db 03h,0F0h</v>
      </c>
    </row>
    <row r="181" spans="1:65" x14ac:dyDescent="0.2">
      <c r="C181">
        <v>3</v>
      </c>
      <c r="F181">
        <v>0</v>
      </c>
      <c r="G181">
        <v>3</v>
      </c>
      <c r="K181">
        <v>3</v>
      </c>
      <c r="O181">
        <v>3</v>
      </c>
      <c r="T181">
        <v>3</v>
      </c>
      <c r="AA181">
        <v>3</v>
      </c>
      <c r="AE181">
        <v>3</v>
      </c>
      <c r="AI181" t="s">
        <v>1</v>
      </c>
      <c r="AJ181" t="str">
        <f>"0"&amp;DEC2HEX(A181*64+B181*16+C181*4+D181)&amp;"h"</f>
        <v>0Ch</v>
      </c>
      <c r="AK181" t="s">
        <v>0</v>
      </c>
      <c r="AN181" t="str">
        <f>"0"&amp;DEC2HEX(E181*64+F181*16+G181*4+H181)&amp;"h"</f>
        <v>0Ch</v>
      </c>
      <c r="AO181" t="str">
        <f>"db "&amp;_xlfn.CONCAT(AJ180:AN180)</f>
        <v>db 00h,0Ch</v>
      </c>
      <c r="AR181" t="str">
        <f>"0"&amp;DEC2HEX(I181*64+J181*16+K181*4+L181)&amp;"h"</f>
        <v>0Ch</v>
      </c>
      <c r="AS181" t="s">
        <v>0</v>
      </c>
      <c r="AV181" t="str">
        <f>"0"&amp;DEC2HEX(M181*64+N181*16+O181*4+P181)&amp;"h"</f>
        <v>0Ch</v>
      </c>
      <c r="AW181" t="str">
        <f>"db "&amp;_xlfn.CONCAT(AR180:AV180)</f>
        <v>db 0Ch,0Ch</v>
      </c>
      <c r="AZ181" t="str">
        <f>"0"&amp;DEC2HEX(Q181*64+R181*16+S181*4+T181)&amp;"h"</f>
        <v>03h</v>
      </c>
      <c r="BA181" t="s">
        <v>0</v>
      </c>
      <c r="BD181" t="str">
        <f>"0"&amp;DEC2HEX(U181*64+V181*16+W181*4+X181)&amp;"h"</f>
        <v>00h</v>
      </c>
      <c r="BE181" t="str">
        <f>"db "&amp;_xlfn.CONCAT(AZ180:BD180)</f>
        <v>db 00h,0C0h</v>
      </c>
      <c r="BH181" t="str">
        <f>"0"&amp;DEC2HEX(Y181*64+Z181*16+AA181*4+AB181)&amp;"h"</f>
        <v>0Ch</v>
      </c>
      <c r="BI181" t="s">
        <v>0</v>
      </c>
      <c r="BL181" t="str">
        <f>"0"&amp;DEC2HEX(AC181*64+AD181*16+AE181*4+AF181)&amp;"h"</f>
        <v>0Ch</v>
      </c>
      <c r="BM181" t="str">
        <f>"db "&amp;_xlfn.CONCAT(BH180:BL180)</f>
        <v>db 0Ch,0Ch</v>
      </c>
    </row>
    <row r="182" spans="1:65" x14ac:dyDescent="0.2">
      <c r="C182">
        <v>3</v>
      </c>
      <c r="D182">
        <v>3</v>
      </c>
      <c r="E182">
        <v>3</v>
      </c>
      <c r="F182">
        <v>3</v>
      </c>
      <c r="L182">
        <v>3</v>
      </c>
      <c r="M182">
        <v>3</v>
      </c>
      <c r="N182">
        <v>3</v>
      </c>
      <c r="T182">
        <v>3</v>
      </c>
      <c r="AB182">
        <v>3</v>
      </c>
      <c r="AC182">
        <v>3</v>
      </c>
      <c r="AD182">
        <v>3</v>
      </c>
      <c r="AI182" t="s">
        <v>1</v>
      </c>
      <c r="AJ182" t="str">
        <f>"0"&amp;DEC2HEX(A182*64+B182*16+C182*4+D182)&amp;"h"</f>
        <v>0Fh</v>
      </c>
      <c r="AK182" t="s">
        <v>0</v>
      </c>
      <c r="AN182" t="str">
        <f>"0"&amp;DEC2HEX(E182*64+F182*16+G182*4+H182)&amp;"h"</f>
        <v>0F0h</v>
      </c>
      <c r="AO182" t="str">
        <f>"db "&amp;_xlfn.CONCAT(AJ182:AN182)</f>
        <v>db 0Fh,0F0h</v>
      </c>
      <c r="AR182" t="str">
        <f>"0"&amp;DEC2HEX(I182*64+J182*16+K182*4+L182)&amp;"h"</f>
        <v>03h</v>
      </c>
      <c r="AS182" t="s">
        <v>0</v>
      </c>
      <c r="AV182" t="str">
        <f>"0"&amp;DEC2HEX(M182*64+N182*16+O182*4+P182)&amp;"h"</f>
        <v>0F0h</v>
      </c>
      <c r="AW182" t="str">
        <f>"db "&amp;_xlfn.CONCAT(AR182:AV182)</f>
        <v>db 03h,0F0h</v>
      </c>
      <c r="AZ182" t="str">
        <f>"0"&amp;DEC2HEX(Q182*64+R182*16+S182*4+T182)&amp;"h"</f>
        <v>03h</v>
      </c>
      <c r="BA182" t="s">
        <v>0</v>
      </c>
      <c r="BD182" t="str">
        <f>"0"&amp;DEC2HEX(U182*64+V182*16+W182*4+X182)&amp;"h"</f>
        <v>00h</v>
      </c>
      <c r="BE182" t="str">
        <f>"db "&amp;_xlfn.CONCAT(AZ182:BD182)</f>
        <v>db 03h,00h</v>
      </c>
      <c r="BH182" t="str">
        <f>"0"&amp;DEC2HEX(Y182*64+Z182*16+AA182*4+AB182)&amp;"h"</f>
        <v>03h</v>
      </c>
      <c r="BI182" t="s">
        <v>0</v>
      </c>
      <c r="BL182" t="str">
        <f>"0"&amp;DEC2HEX(AC182*64+AD182*16+AE182*4+AF182)&amp;"h"</f>
        <v>0F0h</v>
      </c>
      <c r="BM182" t="str">
        <f>"db "&amp;_xlfn.CONCAT(BH182:BL182)</f>
        <v>db 03h,0F0h</v>
      </c>
    </row>
    <row r="184" spans="1:65" x14ac:dyDescent="0.2">
      <c r="A184">
        <v>3</v>
      </c>
      <c r="E184">
        <v>3</v>
      </c>
      <c r="I184">
        <v>3</v>
      </c>
      <c r="M184">
        <v>3</v>
      </c>
      <c r="Q184">
        <v>3</v>
      </c>
      <c r="U184">
        <v>3</v>
      </c>
      <c r="Y184">
        <v>3</v>
      </c>
      <c r="AC184">
        <v>3</v>
      </c>
      <c r="AG184">
        <v>3</v>
      </c>
      <c r="AO184" t="s">
        <v>28</v>
      </c>
      <c r="AW184" t="s">
        <v>29</v>
      </c>
    </row>
    <row r="185" spans="1:65" x14ac:dyDescent="0.2">
      <c r="D185">
        <v>3</v>
      </c>
      <c r="E185">
        <v>3</v>
      </c>
      <c r="F185">
        <v>3</v>
      </c>
      <c r="L185">
        <v>3</v>
      </c>
      <c r="M185">
        <v>3</v>
      </c>
      <c r="N185">
        <v>3</v>
      </c>
      <c r="AI185" t="s">
        <v>1</v>
      </c>
      <c r="AJ185" t="str">
        <f>"0"&amp;DEC2HEX(A185*64+B185*16+C185*4+D185)&amp;"h"</f>
        <v>03h</v>
      </c>
      <c r="AK185" t="s">
        <v>0</v>
      </c>
      <c r="AN185" t="str">
        <f>"0"&amp;DEC2HEX(E185*64+F185*16+G185*4+H185)&amp;"h"</f>
        <v>0F0h</v>
      </c>
      <c r="AO185" t="str">
        <f>"db "&amp;_xlfn.CONCAT(AJ185:AN185)</f>
        <v>db 03h,0F0h</v>
      </c>
      <c r="AR185" t="str">
        <f>"0"&amp;DEC2HEX(I185*64+J185*16+K185*4+L185)&amp;"h"</f>
        <v>03h</v>
      </c>
      <c r="AS185" t="s">
        <v>0</v>
      </c>
      <c r="AV185" t="str">
        <f>"0"&amp;DEC2HEX(M185*64+N185*16+O185*4+P185)&amp;"h"</f>
        <v>0F0h</v>
      </c>
      <c r="AW185" t="str">
        <f>"db "&amp;_xlfn.CONCAT(AR185:AV185)</f>
        <v>db 03h,0F0h</v>
      </c>
    </row>
    <row r="186" spans="1:65" x14ac:dyDescent="0.2">
      <c r="C186">
        <v>3</v>
      </c>
      <c r="G186">
        <v>3</v>
      </c>
      <c r="K186">
        <v>3</v>
      </c>
      <c r="O186">
        <v>3</v>
      </c>
      <c r="AI186" t="s">
        <v>1</v>
      </c>
      <c r="AJ186" t="str">
        <f>"0"&amp;DEC2HEX(A186*64+B186*16+C186*4+D186)&amp;"h"</f>
        <v>0Ch</v>
      </c>
      <c r="AK186" t="s">
        <v>0</v>
      </c>
      <c r="AN186" t="str">
        <f>"0"&amp;DEC2HEX(E186*64+F186*16+G186*4+H186)&amp;"h"</f>
        <v>0Ch</v>
      </c>
      <c r="AO186" t="str">
        <f>"db "&amp;_xlfn.CONCAT(AJ187:AN187)</f>
        <v>db 0Ch,0Ch</v>
      </c>
      <c r="AR186" t="str">
        <f>"0"&amp;DEC2HEX(I186*64+J186*16+K186*4+L186)&amp;"h"</f>
        <v>0Ch</v>
      </c>
      <c r="AS186" t="s">
        <v>0</v>
      </c>
      <c r="AV186" t="str">
        <f>"0"&amp;DEC2HEX(M186*64+N186*16+O186*4+P186)&amp;"h"</f>
        <v>0Ch</v>
      </c>
      <c r="AW186" t="str">
        <f>"db "&amp;_xlfn.CONCAT(AR187:AV187)</f>
        <v>db 0Ch,0Ch</v>
      </c>
    </row>
    <row r="187" spans="1:65" x14ac:dyDescent="0.2">
      <c r="C187">
        <v>3</v>
      </c>
      <c r="G187">
        <v>3</v>
      </c>
      <c r="K187">
        <v>3</v>
      </c>
      <c r="O187">
        <v>3</v>
      </c>
      <c r="AI187" t="s">
        <v>1</v>
      </c>
      <c r="AJ187" t="str">
        <f>"0"&amp;DEC2HEX(A187*64+B187*16+C187*4+D187)&amp;"h"</f>
        <v>0Ch</v>
      </c>
      <c r="AK187" t="s">
        <v>0</v>
      </c>
      <c r="AN187" t="str">
        <f>"0"&amp;DEC2HEX(E187*64+F187*16+G187*4+H187)&amp;"h"</f>
        <v>0Ch</v>
      </c>
      <c r="AO187" t="str">
        <f>"db "&amp;_xlfn.CONCAT(AJ189:AN189)</f>
        <v>db 00h,0Ch</v>
      </c>
      <c r="AR187" t="str">
        <f>"0"&amp;DEC2HEX(I187*64+J187*16+K187*4+L187)&amp;"h"</f>
        <v>0Ch</v>
      </c>
      <c r="AS187" t="s">
        <v>0</v>
      </c>
      <c r="AV187" t="str">
        <f>"0"&amp;DEC2HEX(M187*64+N187*16+O187*4+P187)&amp;"h"</f>
        <v>0Ch</v>
      </c>
      <c r="AW187" t="str">
        <f>"db "&amp;_xlfn.CONCAT(AR189:AV189)</f>
        <v>db 0Ch,0Ch</v>
      </c>
    </row>
    <row r="188" spans="1:65" x14ac:dyDescent="0.2">
      <c r="C188">
        <v>0</v>
      </c>
      <c r="D188">
        <v>3</v>
      </c>
      <c r="E188">
        <v>3</v>
      </c>
      <c r="F188">
        <v>3</v>
      </c>
      <c r="G188">
        <v>3</v>
      </c>
      <c r="K188">
        <v>3</v>
      </c>
      <c r="O188">
        <v>3</v>
      </c>
      <c r="AI188" t="s">
        <v>1</v>
      </c>
      <c r="AJ188" t="str">
        <f>"0"&amp;DEC2HEX(A188*64+B188*16+C188*4+D188)&amp;"h"</f>
        <v>03h</v>
      </c>
      <c r="AK188" t="s">
        <v>0</v>
      </c>
      <c r="AN188" t="str">
        <f>"0"&amp;DEC2HEX(E188*64+F188*16+G188*4+H188)&amp;"h"</f>
        <v>0FCh</v>
      </c>
      <c r="AO188" t="str">
        <f>"db "&amp;_xlfn.CONCAT(AJ191:AN191)</f>
        <v>db 0Ch,0Ch</v>
      </c>
      <c r="AR188" t="str">
        <f>"0"&amp;DEC2HEX(I188*64+J188*16+K188*4+L188)&amp;"h"</f>
        <v>0Ch</v>
      </c>
      <c r="AS188" t="s">
        <v>0</v>
      </c>
      <c r="AV188" t="str">
        <f>"0"&amp;DEC2HEX(M188*64+N188*16+O188*4+P188)&amp;"h"</f>
        <v>0Ch</v>
      </c>
      <c r="AW188" t="str">
        <f>"db "&amp;_xlfn.CONCAT(AR191:AV191)</f>
        <v>db 0Ch,0Ch</v>
      </c>
    </row>
    <row r="189" spans="1:65" x14ac:dyDescent="0.2">
      <c r="C189">
        <v>0</v>
      </c>
      <c r="D189">
        <v>0</v>
      </c>
      <c r="E189">
        <v>0</v>
      </c>
      <c r="F189">
        <v>0</v>
      </c>
      <c r="G189">
        <v>3</v>
      </c>
      <c r="K189">
        <v>3</v>
      </c>
      <c r="O189">
        <v>3</v>
      </c>
      <c r="AI189" t="s">
        <v>1</v>
      </c>
      <c r="AJ189" t="str">
        <f>"0"&amp;DEC2HEX(A189*64+B189*16+C189*4+D189)&amp;"h"</f>
        <v>00h</v>
      </c>
      <c r="AK189" t="s">
        <v>0</v>
      </c>
      <c r="AN189" t="str">
        <f>"0"&amp;DEC2HEX(E189*64+F189*16+G189*4+H189)&amp;"h"</f>
        <v>0Ch</v>
      </c>
      <c r="AO189" t="str">
        <f>"db "&amp;_xlfn.CONCAT(AJ186:AN186)</f>
        <v>db 0Ch,0Ch</v>
      </c>
      <c r="AR189" t="str">
        <f>"0"&amp;DEC2HEX(I189*64+J189*16+K189*4+L189)&amp;"h"</f>
        <v>0Ch</v>
      </c>
      <c r="AS189" t="s">
        <v>0</v>
      </c>
      <c r="AV189" t="str">
        <f>"0"&amp;DEC2HEX(M189*64+N189*16+O189*4+P189)&amp;"h"</f>
        <v>0Ch</v>
      </c>
      <c r="AW189" t="str">
        <f>"db "&amp;_xlfn.CONCAT(AR186:AV186)</f>
        <v>db 0Ch,0Ch</v>
      </c>
    </row>
    <row r="190" spans="1:65" x14ac:dyDescent="0.2">
      <c r="C190">
        <v>0</v>
      </c>
      <c r="G190">
        <v>3</v>
      </c>
      <c r="K190">
        <v>3</v>
      </c>
      <c r="O190">
        <v>3</v>
      </c>
      <c r="AI190" t="s">
        <v>1</v>
      </c>
      <c r="AJ190" t="str">
        <f>"0"&amp;DEC2HEX(A190*64+B190*16+C190*4+D190)&amp;"h"</f>
        <v>00h</v>
      </c>
      <c r="AK190" t="s">
        <v>0</v>
      </c>
      <c r="AN190" t="str">
        <f>"0"&amp;DEC2HEX(E190*64+F190*16+G190*4+H190)&amp;"h"</f>
        <v>0Ch</v>
      </c>
      <c r="AO190" t="str">
        <f>"db "&amp;_xlfn.CONCAT(AJ188:AN188)</f>
        <v>db 03h,0FCh</v>
      </c>
      <c r="AR190" t="str">
        <f>"0"&amp;DEC2HEX(I190*64+J190*16+K190*4+L190)&amp;"h"</f>
        <v>0Ch</v>
      </c>
      <c r="AS190" t="s">
        <v>0</v>
      </c>
      <c r="AV190" t="str">
        <f>"0"&amp;DEC2HEX(M190*64+N190*16+O190*4+P190)&amp;"h"</f>
        <v>0Ch</v>
      </c>
      <c r="AW190" t="str">
        <f>"db "&amp;_xlfn.CONCAT(AR188:AV188)</f>
        <v>db 0Ch,0Ch</v>
      </c>
    </row>
    <row r="191" spans="1:65" x14ac:dyDescent="0.2">
      <c r="C191">
        <v>3</v>
      </c>
      <c r="G191">
        <v>3</v>
      </c>
      <c r="K191">
        <v>3</v>
      </c>
      <c r="O191">
        <v>3</v>
      </c>
      <c r="AI191" t="s">
        <v>1</v>
      </c>
      <c r="AJ191" t="str">
        <f>"0"&amp;DEC2HEX(A191*64+B191*16+C191*4+D191)&amp;"h"</f>
        <v>0Ch</v>
      </c>
      <c r="AK191" t="s">
        <v>0</v>
      </c>
      <c r="AN191" t="str">
        <f>"0"&amp;DEC2HEX(E191*64+F191*16+G191*4+H191)&amp;"h"</f>
        <v>0Ch</v>
      </c>
      <c r="AO191" t="str">
        <f>"db "&amp;_xlfn.CONCAT(AJ190:AN190)</f>
        <v>db 00h,0Ch</v>
      </c>
      <c r="AR191" t="str">
        <f>"0"&amp;DEC2HEX(I191*64+J191*16+K191*4+L191)&amp;"h"</f>
        <v>0Ch</v>
      </c>
      <c r="AS191" t="s">
        <v>0</v>
      </c>
      <c r="AV191" t="str">
        <f>"0"&amp;DEC2HEX(M191*64+N191*16+O191*4+P191)&amp;"h"</f>
        <v>0Ch</v>
      </c>
      <c r="AW191" t="str">
        <f>"db "&amp;_xlfn.CONCAT(AR190:AV190)</f>
        <v>db 0Ch,0Ch</v>
      </c>
    </row>
    <row r="192" spans="1:65" x14ac:dyDescent="0.2">
      <c r="D192">
        <v>3</v>
      </c>
      <c r="E192">
        <v>3</v>
      </c>
      <c r="F192">
        <v>3</v>
      </c>
      <c r="L192">
        <v>3</v>
      </c>
      <c r="M192">
        <v>3</v>
      </c>
      <c r="N192">
        <v>3</v>
      </c>
      <c r="AI192" t="s">
        <v>1</v>
      </c>
      <c r="AJ192" t="str">
        <f>"0"&amp;DEC2HEX(A192*64+B192*16+C192*4+D192)&amp;"h"</f>
        <v>03h</v>
      </c>
      <c r="AK192" t="s">
        <v>0</v>
      </c>
      <c r="AN192" t="str">
        <f>"0"&amp;DEC2HEX(E192*64+F192*16+G192*4+H192)&amp;"h"</f>
        <v>0F0h</v>
      </c>
      <c r="AO192" t="str">
        <f>"db "&amp;_xlfn.CONCAT(AJ192:AN192)</f>
        <v>db 03h,0F0h</v>
      </c>
      <c r="AR192" t="str">
        <f>"0"&amp;DEC2HEX(I192*64+J192*16+K192*4+L192)&amp;"h"</f>
        <v>03h</v>
      </c>
      <c r="AS192" t="s">
        <v>0</v>
      </c>
      <c r="AV192" t="str">
        <f>"0"&amp;DEC2HEX(M192*64+N192*16+O192*4+P192)&amp;"h"</f>
        <v>0F0h</v>
      </c>
      <c r="AW192" t="str">
        <f>"db "&amp;_xlfn.CONCAT(AR192:AV192)</f>
        <v>db 03h,0F0h</v>
      </c>
    </row>
    <row r="194" spans="1:33" x14ac:dyDescent="0.2">
      <c r="A194">
        <v>3</v>
      </c>
      <c r="E194">
        <v>3</v>
      </c>
      <c r="I194">
        <v>3</v>
      </c>
      <c r="M194">
        <v>3</v>
      </c>
      <c r="Q194">
        <v>3</v>
      </c>
      <c r="U194">
        <v>3</v>
      </c>
      <c r="Y194">
        <v>3</v>
      </c>
      <c r="AC194">
        <v>3</v>
      </c>
      <c r="AG194">
        <v>3</v>
      </c>
    </row>
  </sheetData>
  <conditionalFormatting sqref="A3:AH19 A21:AH37 A39:AH55 A57:AH73 A75:AH91 A93:AH109 A111:AH127 A129:AH145 A147:AH162 A164:AH172 A174:AH182 A184:AH192 A194:AH1048576">
    <cfRule type="cellIs" dxfId="3" priority="1" operator="equal">
      <formula>3</formula>
    </cfRule>
    <cfRule type="cellIs" dxfId="2" priority="2" operator="equal">
      <formula>2</formula>
    </cfRule>
    <cfRule type="cellIs" dxfId="1" priority="3" operator="equal">
      <formula>1</formula>
    </cfRule>
    <cfRule type="cellIs" dxfId="0" priority="4" operator="equal">
      <formula>0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198E9-6C98-1B45-96A4-EBEE335FB941}">
  <dimension ref="B5:F18"/>
  <sheetViews>
    <sheetView workbookViewId="0">
      <selection activeCell="C6" sqref="C6"/>
    </sheetView>
  </sheetViews>
  <sheetFormatPr baseColWidth="10" defaultRowHeight="16" x14ac:dyDescent="0.2"/>
  <sheetData>
    <row r="5" spans="2:6" x14ac:dyDescent="0.2">
      <c r="C5" t="s">
        <v>5</v>
      </c>
      <c r="F5" t="s">
        <v>4</v>
      </c>
    </row>
    <row r="6" spans="2:6" x14ac:dyDescent="0.2">
      <c r="C6">
        <v>1193180</v>
      </c>
      <c r="D6" t="s">
        <v>3</v>
      </c>
    </row>
    <row r="8" spans="2:6" x14ac:dyDescent="0.2">
      <c r="C8">
        <v>65536</v>
      </c>
      <c r="D8" t="s">
        <v>2</v>
      </c>
    </row>
    <row r="10" spans="2:6" x14ac:dyDescent="0.2">
      <c r="C10">
        <f>C6/C8</f>
        <v>18.20648193359375</v>
      </c>
      <c r="F10">
        <v>59.922699999999999</v>
      </c>
    </row>
    <row r="12" spans="2:6" x14ac:dyDescent="0.2">
      <c r="B12" t="s">
        <v>6</v>
      </c>
      <c r="C12">
        <f>1000/C10</f>
        <v>54.925493219799193</v>
      </c>
      <c r="F12">
        <f>1000/F10</f>
        <v>16.688166587954147</v>
      </c>
    </row>
    <row r="15" spans="2:6" x14ac:dyDescent="0.2">
      <c r="C15">
        <f>C6/F10</f>
        <v>19911.986609415129</v>
      </c>
      <c r="E15">
        <v>19912</v>
      </c>
    </row>
    <row r="18" spans="3:3" x14ac:dyDescent="0.2">
      <c r="C18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0EFE3-6E79-624B-9939-E814FC7E5C54}">
  <dimension ref="A1:AO2"/>
  <sheetViews>
    <sheetView workbookViewId="0">
      <selection activeCell="AO5" sqref="AO5"/>
    </sheetView>
  </sheetViews>
  <sheetFormatPr baseColWidth="10" defaultRowHeight="16" x14ac:dyDescent="0.2"/>
  <cols>
    <col min="1" max="41" width="4.33203125" customWidth="1"/>
  </cols>
  <sheetData>
    <row r="1" spans="1:41" x14ac:dyDescent="0.2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</row>
    <row r="2" spans="1:41" x14ac:dyDescent="0.2">
      <c r="A2" t="str">
        <f>TEXT(COS(A1*PI()/20)*50+100,"###")&amp;","</f>
        <v>150,</v>
      </c>
      <c r="B2" t="str">
        <f t="shared" ref="B2:AO2" si="0">TEXT(COS(B1*PI()/20)*50+100,"###")&amp;","</f>
        <v>149,</v>
      </c>
      <c r="C2" t="str">
        <f t="shared" si="0"/>
        <v>148,</v>
      </c>
      <c r="D2" t="str">
        <f t="shared" si="0"/>
        <v>145,</v>
      </c>
      <c r="E2" t="str">
        <f t="shared" si="0"/>
        <v>140,</v>
      </c>
      <c r="F2" t="str">
        <f t="shared" si="0"/>
        <v>135,</v>
      </c>
      <c r="G2" t="str">
        <f t="shared" si="0"/>
        <v>129,</v>
      </c>
      <c r="H2" t="str">
        <f t="shared" si="0"/>
        <v>123,</v>
      </c>
      <c r="I2" t="str">
        <f t="shared" si="0"/>
        <v>115,</v>
      </c>
      <c r="J2" t="str">
        <f t="shared" si="0"/>
        <v>108,</v>
      </c>
      <c r="K2" t="str">
        <f t="shared" si="0"/>
        <v>100,</v>
      </c>
      <c r="L2" t="str">
        <f t="shared" si="0"/>
        <v>92,</v>
      </c>
      <c r="M2" t="str">
        <f t="shared" si="0"/>
        <v>85,</v>
      </c>
      <c r="N2" t="str">
        <f t="shared" si="0"/>
        <v>77,</v>
      </c>
      <c r="O2" t="str">
        <f t="shared" si="0"/>
        <v>71,</v>
      </c>
      <c r="P2" t="str">
        <f t="shared" si="0"/>
        <v>65,</v>
      </c>
      <c r="Q2" t="str">
        <f t="shared" si="0"/>
        <v>60,</v>
      </c>
      <c r="R2" t="str">
        <f t="shared" si="0"/>
        <v>55,</v>
      </c>
      <c r="S2" t="str">
        <f t="shared" si="0"/>
        <v>52,</v>
      </c>
      <c r="T2" t="str">
        <f t="shared" si="0"/>
        <v>51,</v>
      </c>
      <c r="U2" t="str">
        <f t="shared" si="0"/>
        <v>50,</v>
      </c>
      <c r="V2" t="str">
        <f t="shared" si="0"/>
        <v>51,</v>
      </c>
      <c r="W2" t="str">
        <f t="shared" si="0"/>
        <v>52,</v>
      </c>
      <c r="X2" t="str">
        <f t="shared" si="0"/>
        <v>55,</v>
      </c>
      <c r="Y2" t="str">
        <f t="shared" si="0"/>
        <v>60,</v>
      </c>
      <c r="Z2" t="str">
        <f t="shared" si="0"/>
        <v>65,</v>
      </c>
      <c r="AA2" t="str">
        <f t="shared" si="0"/>
        <v>71,</v>
      </c>
      <c r="AB2" t="str">
        <f t="shared" si="0"/>
        <v>77,</v>
      </c>
      <c r="AC2" t="str">
        <f t="shared" si="0"/>
        <v>85,</v>
      </c>
      <c r="AD2" t="str">
        <f t="shared" si="0"/>
        <v>92,</v>
      </c>
      <c r="AE2" t="str">
        <f t="shared" si="0"/>
        <v>100,</v>
      </c>
      <c r="AF2" t="str">
        <f t="shared" si="0"/>
        <v>108,</v>
      </c>
      <c r="AG2" t="str">
        <f t="shared" si="0"/>
        <v>115,</v>
      </c>
      <c r="AH2" t="str">
        <f t="shared" si="0"/>
        <v>123,</v>
      </c>
      <c r="AI2" t="str">
        <f t="shared" si="0"/>
        <v>129,</v>
      </c>
      <c r="AJ2" t="str">
        <f t="shared" si="0"/>
        <v>135,</v>
      </c>
      <c r="AK2" t="str">
        <f t="shared" si="0"/>
        <v>140,</v>
      </c>
      <c r="AL2" t="str">
        <f t="shared" si="0"/>
        <v>145,</v>
      </c>
      <c r="AM2" t="str">
        <f t="shared" si="0"/>
        <v>148,</v>
      </c>
      <c r="AN2" t="str">
        <f t="shared" si="0"/>
        <v>149,</v>
      </c>
      <c r="AO2" t="str">
        <f t="shared" si="0"/>
        <v>150,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1A59D-E9C5-A744-8883-14DA33422FBB}">
  <dimension ref="A1:AH54"/>
  <sheetViews>
    <sheetView tabSelected="1" workbookViewId="0">
      <selection activeCell="B9" sqref="B9"/>
    </sheetView>
  </sheetViews>
  <sheetFormatPr baseColWidth="10" defaultRowHeight="16" x14ac:dyDescent="0.2"/>
  <sheetData>
    <row r="1" spans="1:34" x14ac:dyDescent="0.2">
      <c r="B1" t="s">
        <v>16</v>
      </c>
      <c r="C1" s="2">
        <v>1193180</v>
      </c>
    </row>
    <row r="3" spans="1:34" x14ac:dyDescent="0.2">
      <c r="A3" t="s">
        <v>15</v>
      </c>
      <c r="B3" t="s">
        <v>67</v>
      </c>
      <c r="C3" t="str">
        <f ca="1">TEXT(INT($C$1/(40+RAND()*40)),"#")&amp;","</f>
        <v>21073,</v>
      </c>
      <c r="D3" t="str">
        <f t="shared" ref="D3:V3" ca="1" si="0">TEXT(INT($C$1/(40+RAND()*40)),"#")&amp;","</f>
        <v>25722,</v>
      </c>
      <c r="E3" t="str">
        <f t="shared" ca="1" si="0"/>
        <v>15350,</v>
      </c>
      <c r="F3" t="str">
        <f t="shared" ca="1" si="0"/>
        <v>16104,</v>
      </c>
      <c r="G3" t="str">
        <f t="shared" ca="1" si="0"/>
        <v>16206,</v>
      </c>
      <c r="H3" t="str">
        <f t="shared" ca="1" si="0"/>
        <v>16372,</v>
      </c>
      <c r="I3" t="str">
        <f t="shared" ca="1" si="0"/>
        <v>21369,</v>
      </c>
      <c r="J3" t="str">
        <f t="shared" ca="1" si="0"/>
        <v>15857,</v>
      </c>
      <c r="K3" t="str">
        <f t="shared" ca="1" si="0"/>
        <v>16726,</v>
      </c>
      <c r="L3" t="str">
        <f t="shared" ca="1" si="0"/>
        <v>16304,</v>
      </c>
      <c r="M3" t="str">
        <f t="shared" ca="1" si="0"/>
        <v>22367,</v>
      </c>
      <c r="N3" t="str">
        <f t="shared" ca="1" si="0"/>
        <v>19837,</v>
      </c>
      <c r="O3" t="str">
        <f t="shared" ca="1" si="0"/>
        <v>23511,</v>
      </c>
      <c r="P3" t="str">
        <f t="shared" ca="1" si="0"/>
        <v>27877,</v>
      </c>
      <c r="Q3" t="str">
        <f t="shared" ca="1" si="0"/>
        <v>19260,</v>
      </c>
      <c r="R3" t="str">
        <f t="shared" ca="1" si="0"/>
        <v>26159,</v>
      </c>
      <c r="S3" t="str">
        <f t="shared" ca="1" si="0"/>
        <v>25844,</v>
      </c>
      <c r="T3" t="str">
        <f t="shared" ca="1" si="0"/>
        <v>28295,</v>
      </c>
      <c r="U3" t="str">
        <f t="shared" ca="1" si="0"/>
        <v>22913,</v>
      </c>
      <c r="V3" t="str">
        <f t="shared" ca="1" si="0"/>
        <v>20957,</v>
      </c>
      <c r="W3">
        <v>0</v>
      </c>
    </row>
    <row r="5" spans="1:34" x14ac:dyDescent="0.2">
      <c r="A5" t="s">
        <v>18</v>
      </c>
      <c r="C5">
        <v>1000</v>
      </c>
      <c r="D5">
        <f>C5-50</f>
        <v>950</v>
      </c>
      <c r="E5">
        <f t="shared" ref="E5:M5" si="1">D5-50</f>
        <v>900</v>
      </c>
      <c r="F5">
        <f t="shared" si="1"/>
        <v>850</v>
      </c>
      <c r="G5">
        <f t="shared" si="1"/>
        <v>800</v>
      </c>
      <c r="H5">
        <f t="shared" si="1"/>
        <v>750</v>
      </c>
      <c r="I5">
        <f t="shared" si="1"/>
        <v>700</v>
      </c>
      <c r="J5">
        <f t="shared" si="1"/>
        <v>650</v>
      </c>
      <c r="K5">
        <f t="shared" si="1"/>
        <v>600</v>
      </c>
      <c r="L5">
        <f>K5-50</f>
        <v>550</v>
      </c>
      <c r="M5">
        <f t="shared" si="1"/>
        <v>500</v>
      </c>
    </row>
    <row r="6" spans="1:34" x14ac:dyDescent="0.2">
      <c r="A6" t="s">
        <v>17</v>
      </c>
      <c r="B6" t="s">
        <v>67</v>
      </c>
      <c r="C6" t="str">
        <f>TEXT(INT($C$1/C5),"#")&amp;","</f>
        <v>1193,</v>
      </c>
      <c r="D6" t="str">
        <f t="shared" ref="D6:M6" si="2">TEXT(INT($C$1/D5),"#")&amp;","</f>
        <v>1255,</v>
      </c>
      <c r="E6" t="str">
        <f t="shared" si="2"/>
        <v>1325,</v>
      </c>
      <c r="F6" t="str">
        <f t="shared" si="2"/>
        <v>1403,</v>
      </c>
      <c r="G6" t="str">
        <f t="shared" si="2"/>
        <v>1491,</v>
      </c>
      <c r="H6" t="str">
        <f t="shared" si="2"/>
        <v>1590,</v>
      </c>
      <c r="I6" t="str">
        <f t="shared" si="2"/>
        <v>1704,</v>
      </c>
      <c r="J6" t="str">
        <f t="shared" si="2"/>
        <v>1835,</v>
      </c>
      <c r="K6" t="str">
        <f t="shared" si="2"/>
        <v>1988,</v>
      </c>
      <c r="L6" t="str">
        <f t="shared" si="2"/>
        <v>2169,</v>
      </c>
      <c r="M6" t="str">
        <f t="shared" si="2"/>
        <v>2386,</v>
      </c>
      <c r="N6">
        <v>0</v>
      </c>
    </row>
    <row r="8" spans="1:34" x14ac:dyDescent="0.2">
      <c r="A8" t="s">
        <v>66</v>
      </c>
      <c r="B8" t="s">
        <v>67</v>
      </c>
      <c r="C8" t="str">
        <f>TEXT(INT($C$1/VLOOKUP(C11,$A$20:$B$54,2,FALSE)),"#")&amp;","</f>
        <v>1809,</v>
      </c>
      <c r="D8" t="str">
        <f t="shared" ref="D8:AG8" si="3">TEXT(INT($C$1/VLOOKUP(D11,$A$20:$B$54,2,FALSE)),"#")&amp;","</f>
        <v>1521,</v>
      </c>
      <c r="E8" t="str">
        <f t="shared" si="3"/>
        <v>1207,</v>
      </c>
      <c r="F8" t="str">
        <f t="shared" si="3"/>
        <v>904,</v>
      </c>
      <c r="G8" t="str">
        <f t="shared" si="3"/>
        <v>1015,</v>
      </c>
      <c r="H8" t="str">
        <f t="shared" si="3"/>
        <v>1207,</v>
      </c>
      <c r="I8" t="str">
        <f t="shared" si="3"/>
        <v>1521,</v>
      </c>
      <c r="J8" t="str">
        <f t="shared" si="3"/>
        <v>1809,</v>
      </c>
      <c r="K8" t="str">
        <f t="shared" si="3"/>
        <v>1809,</v>
      </c>
      <c r="L8" t="str">
        <f t="shared" si="3"/>
        <v>1521,</v>
      </c>
      <c r="M8" t="str">
        <f t="shared" si="3"/>
        <v>1207,</v>
      </c>
      <c r="N8" t="str">
        <f t="shared" si="3"/>
        <v>1015,</v>
      </c>
      <c r="O8" t="str">
        <f t="shared" si="3"/>
        <v>1207,</v>
      </c>
      <c r="P8" t="str">
        <f t="shared" si="3"/>
        <v>1521,</v>
      </c>
      <c r="Q8" t="str">
        <f t="shared" si="3"/>
        <v>1809,</v>
      </c>
      <c r="R8" t="str">
        <f t="shared" si="3"/>
        <v>1193180,</v>
      </c>
      <c r="S8" t="str">
        <f t="shared" si="3"/>
        <v>1521,</v>
      </c>
      <c r="T8" t="str">
        <f t="shared" si="3"/>
        <v>1355,</v>
      </c>
      <c r="U8" t="str">
        <f t="shared" si="3"/>
        <v>1207,</v>
      </c>
      <c r="V8" t="str">
        <f t="shared" si="3"/>
        <v>1521,</v>
      </c>
      <c r="W8" t="str">
        <f t="shared" si="3"/>
        <v>1809,</v>
      </c>
      <c r="X8" t="str">
        <f t="shared" si="3"/>
        <v>1521,</v>
      </c>
      <c r="Y8" t="str">
        <f t="shared" si="3"/>
        <v>1207,</v>
      </c>
      <c r="Z8" t="str">
        <f t="shared" si="3"/>
        <v>904,</v>
      </c>
      <c r="AA8" t="str">
        <f t="shared" si="3"/>
        <v>1015,</v>
      </c>
      <c r="AB8" t="str">
        <f t="shared" si="3"/>
        <v>1207,</v>
      </c>
      <c r="AC8" t="str">
        <f t="shared" si="3"/>
        <v>1521,</v>
      </c>
      <c r="AD8" t="str">
        <f t="shared" si="3"/>
        <v>1355,</v>
      </c>
      <c r="AE8" t="str">
        <f t="shared" si="3"/>
        <v>1207,</v>
      </c>
      <c r="AF8" t="str">
        <f t="shared" si="3"/>
        <v>904,</v>
      </c>
      <c r="AG8" t="str">
        <f t="shared" si="3"/>
        <v>1015,</v>
      </c>
      <c r="AH8">
        <v>0</v>
      </c>
    </row>
    <row r="11" spans="1:34" x14ac:dyDescent="0.2">
      <c r="C11" t="s">
        <v>45</v>
      </c>
      <c r="D11" t="s">
        <v>48</v>
      </c>
      <c r="E11" t="s">
        <v>52</v>
      </c>
      <c r="F11" t="s">
        <v>57</v>
      </c>
      <c r="G11" t="s">
        <v>55</v>
      </c>
      <c r="H11" t="s">
        <v>52</v>
      </c>
      <c r="I11" t="s">
        <v>48</v>
      </c>
      <c r="J11" t="s">
        <v>45</v>
      </c>
      <c r="K11" t="s">
        <v>45</v>
      </c>
      <c r="L11" t="s">
        <v>48</v>
      </c>
      <c r="M11" t="s">
        <v>52</v>
      </c>
      <c r="N11" t="s">
        <v>55</v>
      </c>
      <c r="O11" t="s">
        <v>52</v>
      </c>
      <c r="P11" t="s">
        <v>48</v>
      </c>
      <c r="Q11" t="s">
        <v>45</v>
      </c>
      <c r="R11" t="s">
        <v>65</v>
      </c>
      <c r="S11" t="s">
        <v>48</v>
      </c>
      <c r="T11" t="s">
        <v>50</v>
      </c>
      <c r="U11" t="s">
        <v>52</v>
      </c>
      <c r="V11" t="s">
        <v>48</v>
      </c>
      <c r="W11" t="s">
        <v>45</v>
      </c>
      <c r="X11" t="s">
        <v>48</v>
      </c>
      <c r="Y11" t="s">
        <v>52</v>
      </c>
      <c r="Z11" t="s">
        <v>57</v>
      </c>
      <c r="AA11" t="s">
        <v>55</v>
      </c>
      <c r="AB11" t="s">
        <v>52</v>
      </c>
      <c r="AC11" t="s">
        <v>48</v>
      </c>
      <c r="AD11" t="s">
        <v>50</v>
      </c>
      <c r="AE11" t="s">
        <v>52</v>
      </c>
      <c r="AF11" t="s">
        <v>57</v>
      </c>
      <c r="AG11" t="s">
        <v>55</v>
      </c>
      <c r="AH11" t="s">
        <v>65</v>
      </c>
    </row>
    <row r="19" spans="1:2" x14ac:dyDescent="0.2">
      <c r="A19" t="s">
        <v>30</v>
      </c>
    </row>
    <row r="20" spans="1:2" x14ac:dyDescent="0.2">
      <c r="A20" t="s">
        <v>31</v>
      </c>
      <c r="B20">
        <v>261.63</v>
      </c>
    </row>
    <row r="21" spans="1:2" x14ac:dyDescent="0.2">
      <c r="A21" t="s">
        <v>32</v>
      </c>
      <c r="B21">
        <v>277.18</v>
      </c>
    </row>
    <row r="22" spans="1:2" x14ac:dyDescent="0.2">
      <c r="A22" t="s">
        <v>33</v>
      </c>
      <c r="B22">
        <v>293.66000000000003</v>
      </c>
    </row>
    <row r="23" spans="1:2" x14ac:dyDescent="0.2">
      <c r="A23" t="s">
        <v>34</v>
      </c>
      <c r="B23">
        <v>311.13</v>
      </c>
    </row>
    <row r="24" spans="1:2" x14ac:dyDescent="0.2">
      <c r="A24" t="s">
        <v>35</v>
      </c>
      <c r="B24">
        <v>329.63</v>
      </c>
    </row>
    <row r="25" spans="1:2" x14ac:dyDescent="0.2">
      <c r="A25" t="s">
        <v>36</v>
      </c>
      <c r="B25">
        <v>349.23</v>
      </c>
    </row>
    <row r="26" spans="1:2" x14ac:dyDescent="0.2">
      <c r="A26" t="s">
        <v>37</v>
      </c>
      <c r="B26">
        <v>369.99</v>
      </c>
    </row>
    <row r="27" spans="1:2" x14ac:dyDescent="0.2">
      <c r="A27" t="s">
        <v>38</v>
      </c>
      <c r="B27">
        <v>392</v>
      </c>
    </row>
    <row r="28" spans="1:2" x14ac:dyDescent="0.2">
      <c r="A28" t="s">
        <v>39</v>
      </c>
      <c r="B28">
        <v>415.3</v>
      </c>
    </row>
    <row r="29" spans="1:2" x14ac:dyDescent="0.2">
      <c r="A29" t="s">
        <v>40</v>
      </c>
      <c r="B29">
        <v>440</v>
      </c>
    </row>
    <row r="30" spans="1:2" x14ac:dyDescent="0.2">
      <c r="A30" t="s">
        <v>41</v>
      </c>
      <c r="B30">
        <v>523.25</v>
      </c>
    </row>
    <row r="31" spans="1:2" x14ac:dyDescent="0.2">
      <c r="A31" t="s">
        <v>42</v>
      </c>
      <c r="B31">
        <v>554.37</v>
      </c>
    </row>
    <row r="32" spans="1:2" x14ac:dyDescent="0.2">
      <c r="A32" t="s">
        <v>43</v>
      </c>
      <c r="B32">
        <v>587.33000000000004</v>
      </c>
    </row>
    <row r="33" spans="1:2" x14ac:dyDescent="0.2">
      <c r="A33" t="s">
        <v>44</v>
      </c>
      <c r="B33">
        <v>622.25</v>
      </c>
    </row>
    <row r="34" spans="1:2" x14ac:dyDescent="0.2">
      <c r="A34" t="s">
        <v>45</v>
      </c>
      <c r="B34">
        <v>659.25</v>
      </c>
    </row>
    <row r="35" spans="1:2" x14ac:dyDescent="0.2">
      <c r="A35" t="s">
        <v>46</v>
      </c>
      <c r="B35">
        <v>698.46</v>
      </c>
    </row>
    <row r="36" spans="1:2" x14ac:dyDescent="0.2">
      <c r="A36" t="s">
        <v>47</v>
      </c>
      <c r="B36">
        <v>739.99</v>
      </c>
    </row>
    <row r="37" spans="1:2" x14ac:dyDescent="0.2">
      <c r="A37" t="s">
        <v>48</v>
      </c>
      <c r="B37">
        <v>783.99</v>
      </c>
    </row>
    <row r="38" spans="1:2" x14ac:dyDescent="0.2">
      <c r="A38" t="s">
        <v>49</v>
      </c>
      <c r="B38">
        <v>830.61</v>
      </c>
    </row>
    <row r="39" spans="1:2" x14ac:dyDescent="0.2">
      <c r="A39" t="s">
        <v>50</v>
      </c>
      <c r="B39">
        <v>880</v>
      </c>
    </row>
    <row r="40" spans="1:2" x14ac:dyDescent="0.2">
      <c r="A40" t="s">
        <v>51</v>
      </c>
      <c r="B40">
        <v>932.33</v>
      </c>
    </row>
    <row r="41" spans="1:2" x14ac:dyDescent="0.2">
      <c r="A41" t="s">
        <v>52</v>
      </c>
      <c r="B41">
        <v>987.77</v>
      </c>
    </row>
    <row r="42" spans="1:2" x14ac:dyDescent="0.2">
      <c r="A42" t="s">
        <v>53</v>
      </c>
      <c r="B42">
        <v>1046.5</v>
      </c>
    </row>
    <row r="43" spans="1:2" x14ac:dyDescent="0.2">
      <c r="A43" t="s">
        <v>54</v>
      </c>
      <c r="B43">
        <v>1108.73</v>
      </c>
    </row>
    <row r="44" spans="1:2" x14ac:dyDescent="0.2">
      <c r="A44" t="s">
        <v>55</v>
      </c>
      <c r="B44">
        <v>1174.6600000000001</v>
      </c>
    </row>
    <row r="45" spans="1:2" x14ac:dyDescent="0.2">
      <c r="A45" t="s">
        <v>56</v>
      </c>
      <c r="B45">
        <v>1244.51</v>
      </c>
    </row>
    <row r="46" spans="1:2" x14ac:dyDescent="0.2">
      <c r="A46" t="s">
        <v>57</v>
      </c>
      <c r="B46">
        <v>1318.51</v>
      </c>
    </row>
    <row r="47" spans="1:2" x14ac:dyDescent="0.2">
      <c r="A47" t="s">
        <v>58</v>
      </c>
      <c r="B47">
        <v>1396.91</v>
      </c>
    </row>
    <row r="48" spans="1:2" x14ac:dyDescent="0.2">
      <c r="A48" t="s">
        <v>59</v>
      </c>
      <c r="B48">
        <v>1479.98</v>
      </c>
    </row>
    <row r="49" spans="1:2" x14ac:dyDescent="0.2">
      <c r="A49" t="s">
        <v>60</v>
      </c>
      <c r="B49">
        <v>1567.98</v>
      </c>
    </row>
    <row r="50" spans="1:2" x14ac:dyDescent="0.2">
      <c r="A50" t="s">
        <v>61</v>
      </c>
      <c r="B50">
        <v>1661.22</v>
      </c>
    </row>
    <row r="51" spans="1:2" x14ac:dyDescent="0.2">
      <c r="A51" t="s">
        <v>62</v>
      </c>
      <c r="B51">
        <v>1760</v>
      </c>
    </row>
    <row r="52" spans="1:2" x14ac:dyDescent="0.2">
      <c r="A52" t="s">
        <v>63</v>
      </c>
      <c r="B52">
        <v>1864.66</v>
      </c>
    </row>
    <row r="53" spans="1:2" x14ac:dyDescent="0.2">
      <c r="A53" t="s">
        <v>64</v>
      </c>
      <c r="B53">
        <v>1975.53</v>
      </c>
    </row>
    <row r="54" spans="1:2" x14ac:dyDescent="0.2">
      <c r="A54" t="s">
        <v>65</v>
      </c>
      <c r="B54">
        <v>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Sprites</vt:lpstr>
      <vt:lpstr>clock</vt:lpstr>
      <vt:lpstr>cos_wave</vt:lpstr>
      <vt:lpstr>sound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Iachello</dc:creator>
  <cp:lastModifiedBy>Giovanni Iachello</cp:lastModifiedBy>
  <dcterms:created xsi:type="dcterms:W3CDTF">2026-02-07T22:56:59Z</dcterms:created>
  <dcterms:modified xsi:type="dcterms:W3CDTF">2026-02-23T01:07:19Z</dcterms:modified>
</cp:coreProperties>
</file>